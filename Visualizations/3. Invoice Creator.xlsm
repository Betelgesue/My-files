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ortfolio\Excel and VBA\Apps\"/>
    </mc:Choice>
  </mc:AlternateContent>
  <xr:revisionPtr revIDLastSave="0" documentId="13_ncr:1_{52D20E2D-6150-4752-823F-8A6992D9ED80}" xr6:coauthVersionLast="46" xr6:coauthVersionMax="46" xr10:uidLastSave="{00000000-0000-0000-0000-000000000000}"/>
  <bookViews>
    <workbookView xWindow="-108" yWindow="-108" windowWidth="46296" windowHeight="25536" xr2:uid="{00000000-000D-0000-FFFF-FFFF00000000}"/>
  </bookViews>
  <sheets>
    <sheet name="Data" sheetId="1" r:id="rId1"/>
    <sheet name="Invoice" sheetId="4" r:id="rId2"/>
  </sheets>
  <definedNames>
    <definedName name="_xlnm._FilterDatabase" localSheetId="0" hidden="1">Data!$E$6:$L$39</definedName>
    <definedName name="Code">Invoice!$C$45</definedName>
    <definedName name="InvoiceRange">Invoice!$B$5:$E$49</definedName>
    <definedName name="_xlnm.Print_Area" localSheetId="1">Invoice!$B$1:$F$45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1" l="1"/>
  <c r="D33" i="4" l="1"/>
  <c r="D32" i="4"/>
  <c r="D34" i="4" l="1"/>
  <c r="E12" i="4"/>
</calcChain>
</file>

<file path=xl/sharedStrings.xml><?xml version="1.0" encoding="utf-8"?>
<sst xmlns="http://schemas.openxmlformats.org/spreadsheetml/2006/main" count="269" uniqueCount="114">
  <si>
    <t>Floridusgasse 16</t>
  </si>
  <si>
    <t>Austria</t>
  </si>
  <si>
    <t>Paid</t>
  </si>
  <si>
    <t>Roger Mun</t>
  </si>
  <si>
    <t>Sleops</t>
  </si>
  <si>
    <t>123 Parrish Avenue</t>
  </si>
  <si>
    <t>James Willard</t>
  </si>
  <si>
    <t>Blend</t>
  </si>
  <si>
    <t>2748 Haul Road</t>
  </si>
  <si>
    <t>Robert Blume</t>
  </si>
  <si>
    <t>Twistrr Games</t>
  </si>
  <si>
    <t>Maria Tot</t>
  </si>
  <si>
    <t>Twistrr Kids</t>
  </si>
  <si>
    <t>Robert Spear</t>
  </si>
  <si>
    <t>Inkly</t>
  </si>
  <si>
    <t>1792 Parrish Avenue</t>
  </si>
  <si>
    <t>Gary Miller</t>
  </si>
  <si>
    <t>WenCaL US</t>
  </si>
  <si>
    <t>2120 Eagle Lane</t>
  </si>
  <si>
    <t>Paul Wells</t>
  </si>
  <si>
    <t>Hackrr</t>
  </si>
  <si>
    <t>74 Sutton Wick Lane</t>
  </si>
  <si>
    <t>United Kingdom</t>
  </si>
  <si>
    <t>Robert Marquez</t>
  </si>
  <si>
    <t>Pet Feed</t>
  </si>
  <si>
    <t>523 Confederate Drive</t>
  </si>
  <si>
    <t>Kim West</t>
  </si>
  <si>
    <t>Right App Play</t>
  </si>
  <si>
    <t>605 Old Dear Lane</t>
  </si>
  <si>
    <t>twist</t>
  </si>
  <si>
    <t>Created</t>
  </si>
  <si>
    <t>Lukas Hofer</t>
  </si>
  <si>
    <t>Kryptis</t>
  </si>
  <si>
    <t>Wiener Strasse 35</t>
  </si>
  <si>
    <t>Natalie Porter</t>
  </si>
  <si>
    <t>Right App Learning</t>
  </si>
  <si>
    <t>Germany</t>
  </si>
  <si>
    <t>Name</t>
  </si>
  <si>
    <t>Company</t>
  </si>
  <si>
    <t>Company Address</t>
  </si>
  <si>
    <t>Country</t>
  </si>
  <si>
    <t>Vat</t>
  </si>
  <si>
    <t>Status</t>
  </si>
  <si>
    <t>by Piotr Radwański</t>
  </si>
  <si>
    <t>Canada</t>
  </si>
  <si>
    <t>USA</t>
  </si>
  <si>
    <t>Netherlands</t>
  </si>
  <si>
    <t>Amount Paid</t>
  </si>
  <si>
    <t>Poland</t>
  </si>
  <si>
    <t>France</t>
  </si>
  <si>
    <t>Invoice Creator</t>
  </si>
  <si>
    <t>Now:</t>
  </si>
  <si>
    <t>Order Code</t>
  </si>
  <si>
    <t>Piotr Radwański</t>
  </si>
  <si>
    <t>ul. Jana Długosza 43B</t>
  </si>
  <si>
    <t>30 - 001 Kraków</t>
  </si>
  <si>
    <t>UID: POL8956001</t>
  </si>
  <si>
    <t>Invoice</t>
  </si>
  <si>
    <t>Date</t>
  </si>
  <si>
    <t>Payment terms</t>
  </si>
  <si>
    <t>14 days</t>
  </si>
  <si>
    <t>City</t>
  </si>
  <si>
    <t>Wien</t>
  </si>
  <si>
    <t>Ottawa</t>
  </si>
  <si>
    <t>Bon</t>
  </si>
  <si>
    <t>London</t>
  </si>
  <si>
    <t>Glasgow</t>
  </si>
  <si>
    <t>Berlin</t>
  </si>
  <si>
    <t>Amsterdam</t>
  </si>
  <si>
    <t>New York</t>
  </si>
  <si>
    <t>Warsaw</t>
  </si>
  <si>
    <t>Paris</t>
  </si>
  <si>
    <t>Price in EUR</t>
  </si>
  <si>
    <t>VAT in %</t>
  </si>
  <si>
    <t>Subtotal</t>
  </si>
  <si>
    <t>VAT</t>
  </si>
  <si>
    <t>Total</t>
  </si>
  <si>
    <t>Bank Info</t>
  </si>
  <si>
    <t>Bank Name</t>
  </si>
  <si>
    <t>IBAN: 2342456435</t>
  </si>
  <si>
    <t>BIC: GIBARESCXX</t>
  </si>
  <si>
    <t>Invoice code</t>
  </si>
  <si>
    <t>CA9965578</t>
  </si>
  <si>
    <t>GER145667</t>
  </si>
  <si>
    <t>AU87452774</t>
  </si>
  <si>
    <t>AU56751255</t>
  </si>
  <si>
    <t>US11335577</t>
  </si>
  <si>
    <t>GB98765432</t>
  </si>
  <si>
    <t>GB69741388</t>
  </si>
  <si>
    <t>GB44321234</t>
  </si>
  <si>
    <t>GE16547894</t>
  </si>
  <si>
    <t>CA00000789</t>
  </si>
  <si>
    <t>CA00440000</t>
  </si>
  <si>
    <t>NE13131415</t>
  </si>
  <si>
    <t>NE15435213</t>
  </si>
  <si>
    <t>NE91827364</t>
  </si>
  <si>
    <t>AU00100112</t>
  </si>
  <si>
    <t>CA00232222</t>
  </si>
  <si>
    <t>US99881333</t>
  </si>
  <si>
    <t>US01020304</t>
  </si>
  <si>
    <t>UK02010504</t>
  </si>
  <si>
    <t>PL99009091</t>
  </si>
  <si>
    <t>PL01920304</t>
  </si>
  <si>
    <t>PL01965433</t>
  </si>
  <si>
    <t>GE44332211</t>
  </si>
  <si>
    <t>AU00090911</t>
  </si>
  <si>
    <t>AU74324551</t>
  </si>
  <si>
    <t>FR77321234</t>
  </si>
  <si>
    <t>AT87452774</t>
  </si>
  <si>
    <t>AT56751255</t>
  </si>
  <si>
    <t>FR01010004</t>
  </si>
  <si>
    <t>FR36537545</t>
  </si>
  <si>
    <t>AT35647274</t>
  </si>
  <si>
    <t>US88878787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</si>
</sst>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zł&quot;_-;\-* #,##0.00\ &quot;zł&quot;_-;_-* &quot;-&quot;??\ &quot;zł&quot;_-;_-@_-"/>
    <numFmt numFmtId="164" formatCode="yyyy\-mm\-dd;@"/>
    <numFmt numFmtId="165" formatCode="_-[$$-409]* #,##0.00_ ;_-[$$-409]* \-#,##0.00\ ;_-[$$-409]* &quot;-&quot;??_ ;_-@_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4"/>
      <color indexed="9"/>
      <name val="Calibri"/>
      <family val="2"/>
      <charset val="238"/>
      <scheme val="minor"/>
    </font>
    <font>
      <b/>
      <sz val="22"/>
      <color theme="0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color indexed="9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22"/>
      <color indexed="9"/>
      <name val="Calibri"/>
      <family val="2"/>
      <charset val="238"/>
      <scheme val="minor"/>
    </font>
    <font>
      <b/>
      <sz val="18"/>
      <color theme="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IDAutomationHC39M Free Version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2" fillId="0" borderId="12" applyNumberFormat="0" applyFill="0" applyAlignment="0" applyProtection="0"/>
  </cellStyleXfs>
  <cellXfs count="61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2" fillId="2" borderId="1" xfId="0" applyFont="1" applyFill="1" applyBorder="1" applyAlignment="1">
      <alignment horizontal="center" vertical="center"/>
    </xf>
    <xf numFmtId="0" fontId="0" fillId="2" borderId="0" xfId="0" applyFill="1"/>
    <xf numFmtId="0" fontId="2" fillId="2" borderId="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" xfId="0" applyBorder="1"/>
    <xf numFmtId="0" fontId="0" fillId="0" borderId="11" xfId="0" applyBorder="1"/>
    <xf numFmtId="165" fontId="0" fillId="0" borderId="0" xfId="0" applyNumberFormat="1" applyBorder="1"/>
    <xf numFmtId="165" fontId="5" fillId="0" borderId="6" xfId="0" applyNumberFormat="1" applyFont="1" applyFill="1" applyBorder="1" applyAlignment="1">
      <alignment horizontal="center" vertical="center" wrapText="1"/>
    </xf>
    <xf numFmtId="0" fontId="0" fillId="0" borderId="0" xfId="0" applyFill="1"/>
    <xf numFmtId="164" fontId="0" fillId="0" borderId="0" xfId="0" applyNumberFormat="1" applyFill="1"/>
    <xf numFmtId="14" fontId="0" fillId="0" borderId="0" xfId="0" applyNumberFormat="1" applyFill="1"/>
    <xf numFmtId="0" fontId="7" fillId="2" borderId="0" xfId="0" applyFont="1" applyFill="1" applyAlignment="1">
      <alignment horizontal="right"/>
    </xf>
    <xf numFmtId="22" fontId="8" fillId="2" borderId="0" xfId="0" applyNumberFormat="1" applyFont="1" applyFill="1"/>
    <xf numFmtId="0" fontId="6" fillId="2" borderId="0" xfId="0" applyFont="1" applyFill="1"/>
    <xf numFmtId="0" fontId="0" fillId="4" borderId="0" xfId="0" applyFont="1" applyFill="1"/>
    <xf numFmtId="0" fontId="0" fillId="4" borderId="0" xfId="0" applyFont="1" applyFill="1" applyAlignment="1">
      <alignment horizontal="left"/>
    </xf>
    <xf numFmtId="0" fontId="1" fillId="4" borderId="0" xfId="0" applyFont="1" applyFill="1" applyBorder="1"/>
    <xf numFmtId="2" fontId="0" fillId="4" borderId="0" xfId="0" applyNumberFormat="1" applyFont="1" applyFill="1"/>
    <xf numFmtId="2" fontId="0" fillId="4" borderId="0" xfId="0" applyNumberFormat="1" applyFont="1" applyFill="1" applyAlignment="1">
      <alignment horizontal="right" vertical="top"/>
    </xf>
    <xf numFmtId="0" fontId="14" fillId="4" borderId="0" xfId="0" applyFont="1" applyFill="1"/>
    <xf numFmtId="0" fontId="15" fillId="4" borderId="0" xfId="0" applyFont="1" applyFill="1"/>
    <xf numFmtId="0" fontId="0" fillId="4" borderId="0" xfId="0" applyFill="1"/>
    <xf numFmtId="0" fontId="10" fillId="4" borderId="0" xfId="0" applyFont="1" applyFill="1" applyAlignment="1"/>
    <xf numFmtId="14" fontId="0" fillId="4" borderId="13" xfId="0" applyNumberFormat="1" applyFill="1" applyBorder="1" applyAlignment="1">
      <alignment horizontal="center" vertical="center" wrapText="1"/>
    </xf>
    <xf numFmtId="2" fontId="0" fillId="4" borderId="13" xfId="1" applyNumberFormat="1" applyFont="1" applyFill="1" applyBorder="1" applyAlignment="1">
      <alignment horizontal="center" vertical="center"/>
    </xf>
    <xf numFmtId="9" fontId="0" fillId="4" borderId="13" xfId="2" applyFon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13" fillId="5" borderId="13" xfId="3" applyFont="1" applyFill="1" applyBorder="1" applyAlignment="1">
      <alignment horizontal="center" vertical="center" wrapText="1"/>
    </xf>
    <xf numFmtId="0" fontId="0" fillId="4" borderId="0" xfId="0" applyFont="1" applyFill="1" applyAlignment="1">
      <alignment horizontal="right"/>
    </xf>
    <xf numFmtId="14" fontId="0" fillId="4" borderId="0" xfId="0" applyNumberFormat="1" applyFont="1" applyFill="1" applyAlignment="1">
      <alignment horizontal="right"/>
    </xf>
    <xf numFmtId="0" fontId="10" fillId="2" borderId="0" xfId="0" applyFont="1" applyFill="1" applyAlignment="1"/>
    <xf numFmtId="0" fontId="0" fillId="2" borderId="0" xfId="0" applyFont="1" applyFill="1"/>
    <xf numFmtId="2" fontId="0" fillId="2" borderId="0" xfId="0" applyNumberFormat="1" applyFont="1" applyFill="1"/>
    <xf numFmtId="165" fontId="2" fillId="2" borderId="1" xfId="0" applyNumberFormat="1" applyFont="1" applyFill="1" applyBorder="1" applyAlignment="1">
      <alignment horizontal="center" vertical="center"/>
    </xf>
    <xf numFmtId="0" fontId="9" fillId="2" borderId="0" xfId="0" applyFont="1" applyFill="1" applyAlignment="1"/>
    <xf numFmtId="0" fontId="3" fillId="2" borderId="0" xfId="0" applyFont="1" applyFill="1" applyAlignment="1"/>
    <xf numFmtId="9" fontId="0" fillId="0" borderId="0" xfId="2" applyFont="1" applyBorder="1"/>
    <xf numFmtId="9" fontId="0" fillId="0" borderId="1" xfId="2" applyFont="1" applyBorder="1"/>
    <xf numFmtId="165" fontId="0" fillId="0" borderId="1" xfId="0" applyNumberFormat="1" applyBorder="1"/>
    <xf numFmtId="0" fontId="8" fillId="2" borderId="0" xfId="0" applyFont="1" applyFill="1"/>
    <xf numFmtId="0" fontId="2" fillId="2" borderId="4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/>
    </xf>
    <xf numFmtId="9" fontId="2" fillId="3" borderId="6" xfId="2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6" fillId="3" borderId="2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9" fontId="6" fillId="3" borderId="0" xfId="2" applyFont="1" applyFill="1" applyBorder="1"/>
    <xf numFmtId="165" fontId="6" fillId="3" borderId="0" xfId="0" applyNumberFormat="1" applyFont="1" applyFill="1" applyBorder="1"/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">
    <dxf>
      <font>
        <b val="0"/>
        <i/>
        <color theme="2" tint="-9.9948118533890809E-2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9.gif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17369</xdr:colOff>
      <xdr:row>0</xdr:row>
      <xdr:rowOff>67235</xdr:rowOff>
    </xdr:from>
    <xdr:to>
      <xdr:col>5</xdr:col>
      <xdr:colOff>175484</xdr:colOff>
      <xdr:row>2</xdr:row>
      <xdr:rowOff>95809</xdr:rowOff>
    </xdr:to>
    <xdr:grpSp>
      <xdr:nvGrpSpPr>
        <xdr:cNvPr id="6" name="Group1">
          <a:extLst>
            <a:ext uri="{FF2B5EF4-FFF2-40B4-BE49-F238E27FC236}">
              <a16:creationId xmlns:a16="http://schemas.microsoft.com/office/drawing/2014/main" id="{75D19C15-46BA-4488-AAA6-452C097852FD}"/>
            </a:ext>
          </a:extLst>
        </xdr:cNvPr>
        <xdr:cNvGrpSpPr/>
      </xdr:nvGrpSpPr>
      <xdr:grpSpPr>
        <a:xfrm>
          <a:off x="2516729" y="67235"/>
          <a:ext cx="1438275" cy="493394"/>
          <a:chOff x="3724275" y="38101"/>
          <a:chExt cx="1438275" cy="409574"/>
        </a:xfrm>
      </xdr:grpSpPr>
      <xdr:sp macro="[0]!ClearFilter" textlink="">
        <xdr:nvSpPr>
          <xdr:cNvPr id="3" name="ClearButt">
            <a:extLst>
              <a:ext uri="{FF2B5EF4-FFF2-40B4-BE49-F238E27FC236}">
                <a16:creationId xmlns:a16="http://schemas.microsoft.com/office/drawing/2014/main" id="{9ECA2F76-BBA4-4B3D-A83C-93C488DA85E8}"/>
              </a:ext>
            </a:extLst>
          </xdr:cNvPr>
          <xdr:cNvSpPr/>
        </xdr:nvSpPr>
        <xdr:spPr>
          <a:xfrm>
            <a:off x="3724275" y="57150"/>
            <a:ext cx="1438275" cy="390525"/>
          </a:xfrm>
          <a:prstGeom prst="roundRect">
            <a:avLst/>
          </a:prstGeom>
          <a:solidFill>
            <a:schemeClr val="tx1">
              <a:lumMod val="95000"/>
              <a:lumOff val="5000"/>
            </a:schemeClr>
          </a:solidFill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400" b="1">
                <a:solidFill>
                  <a:schemeClr val="bg1"/>
                </a:solidFill>
              </a:rPr>
              <a:t>Clear Filter</a:t>
            </a:r>
            <a:endParaRPr lang="en-ZA" sz="1400" b="1">
              <a:solidFill>
                <a:schemeClr val="bg1"/>
              </a:solidFill>
            </a:endParaRPr>
          </a:p>
        </xdr:txBody>
      </xdr:sp>
      <xdr:pic macro="[0]!ClearFilter">
        <xdr:nvPicPr>
          <xdr:cNvPr id="5" name="Graphic 4" descr="Eraser">
            <a:extLst>
              <a:ext uri="{FF2B5EF4-FFF2-40B4-BE49-F238E27FC236}">
                <a16:creationId xmlns:a16="http://schemas.microsoft.com/office/drawing/2014/main" id="{C96B7653-8915-42D3-B2F8-77AE3A985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771901" y="38101"/>
            <a:ext cx="381000" cy="381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28575</xdr:rowOff>
    </xdr:from>
    <xdr:to>
      <xdr:col>3</xdr:col>
      <xdr:colOff>304800</xdr:colOff>
      <xdr:row>11</xdr:row>
      <xdr:rowOff>161925</xdr:rowOff>
    </xdr:to>
    <xdr:sp macro="" textlink="">
      <xdr:nvSpPr>
        <xdr:cNvPr id="2" name="Help">
          <a:extLst>
            <a:ext uri="{FF2B5EF4-FFF2-40B4-BE49-F238E27FC236}">
              <a16:creationId xmlns:a16="http://schemas.microsoft.com/office/drawing/2014/main" id="{B44CFBAD-59D5-4EEB-A389-0B3D25958B1D}"/>
            </a:ext>
          </a:extLst>
        </xdr:cNvPr>
        <xdr:cNvSpPr/>
      </xdr:nvSpPr>
      <xdr:spPr>
        <a:xfrm>
          <a:off x="0" y="28575"/>
          <a:ext cx="2133600" cy="2238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>
              <a:solidFill>
                <a:schemeClr val="bg1"/>
              </a:solidFill>
            </a:rPr>
            <a:t>These ranges have</a:t>
          </a:r>
          <a:r>
            <a:rPr lang="pl-PL" sz="1200" b="1" baseline="0">
              <a:solidFill>
                <a:schemeClr val="bg1"/>
              </a:solidFill>
            </a:rPr>
            <a:t> dynamic filters.</a:t>
          </a:r>
        </a:p>
        <a:p>
          <a:pPr algn="ctr"/>
          <a:r>
            <a:rPr lang="pl-PL" sz="1200" b="1" baseline="0">
              <a:solidFill>
                <a:schemeClr val="bg1"/>
              </a:solidFill>
            </a:rPr>
            <a:t>Insert value, press enter and data will be filtered by entered characters. Turn of help so you can type inside them</a:t>
          </a:r>
        </a:p>
        <a:p>
          <a:pPr algn="ctr"/>
          <a:endParaRPr lang="pl-PL" sz="1200" b="1" baseline="0">
            <a:solidFill>
              <a:schemeClr val="bg1"/>
            </a:solidFill>
          </a:endParaRPr>
        </a:p>
        <a:p>
          <a:pPr algn="ctr"/>
          <a:r>
            <a:rPr lang="pl-PL" sz="1200" b="1" baseline="0">
              <a:solidFill>
                <a:schemeClr val="bg1"/>
              </a:solidFill>
            </a:rPr>
            <a:t>"Clear Filter" button will show entire data and clear output</a:t>
          </a:r>
          <a:endParaRPr lang="en-ZA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742949</xdr:colOff>
      <xdr:row>0</xdr:row>
      <xdr:rowOff>95026</xdr:rowOff>
    </xdr:from>
    <xdr:to>
      <xdr:col>10</xdr:col>
      <xdr:colOff>799986</xdr:colOff>
      <xdr:row>2</xdr:row>
      <xdr:rowOff>133126</xdr:rowOff>
    </xdr:to>
    <xdr:grpSp>
      <xdr:nvGrpSpPr>
        <xdr:cNvPr id="17" name="Group4">
          <a:extLst>
            <a:ext uri="{FF2B5EF4-FFF2-40B4-BE49-F238E27FC236}">
              <a16:creationId xmlns:a16="http://schemas.microsoft.com/office/drawing/2014/main" id="{1DFA80FC-4911-4838-BB74-703FA5AADD86}"/>
            </a:ext>
          </a:extLst>
        </xdr:cNvPr>
        <xdr:cNvGrpSpPr/>
      </xdr:nvGrpSpPr>
      <xdr:grpSpPr>
        <a:xfrm>
          <a:off x="10069829" y="95026"/>
          <a:ext cx="1116217" cy="502920"/>
          <a:chOff x="419100" y="2295525"/>
          <a:chExt cx="1247775" cy="685800"/>
        </a:xfrm>
      </xdr:grpSpPr>
      <xdr:sp macro="[0]!_xludf.Help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8E2F2010-F80E-4CD4-80F5-015ADB3E9609}"/>
              </a:ext>
            </a:extLst>
          </xdr:cNvPr>
          <xdr:cNvSpPr/>
        </xdr:nvSpPr>
        <xdr:spPr>
          <a:xfrm>
            <a:off x="419100" y="2295525"/>
            <a:ext cx="1247775" cy="685800"/>
          </a:xfrm>
          <a:prstGeom prst="roundRect">
            <a:avLst/>
          </a:prstGeom>
          <a:ln w="19050">
            <a:solidFill>
              <a:schemeClr val="bg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600" b="1">
                <a:solidFill>
                  <a:schemeClr val="bg1"/>
                </a:solidFill>
              </a:rPr>
              <a:t>Help</a:t>
            </a:r>
            <a:endParaRPr lang="en-ZA" sz="1100" b="1">
              <a:solidFill>
                <a:schemeClr val="bg1"/>
              </a:solidFill>
            </a:endParaRPr>
          </a:p>
        </xdr:txBody>
      </xdr:sp>
      <xdr:pic macro="[0]!_xludf.Help">
        <xdr:nvPicPr>
          <xdr:cNvPr id="16" name="Graphic 15" descr="Questions">
            <a:extLst>
              <a:ext uri="{FF2B5EF4-FFF2-40B4-BE49-F238E27FC236}">
                <a16:creationId xmlns:a16="http://schemas.microsoft.com/office/drawing/2014/main" id="{AB817970-2375-4A66-92E6-835480A7EF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5775" y="2333625"/>
            <a:ext cx="561975" cy="56197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286870</xdr:colOff>
      <xdr:row>0</xdr:row>
      <xdr:rowOff>76199</xdr:rowOff>
    </xdr:from>
    <xdr:to>
      <xdr:col>6</xdr:col>
      <xdr:colOff>247650</xdr:colOff>
      <xdr:row>2</xdr:row>
      <xdr:rowOff>99059</xdr:rowOff>
    </xdr:to>
    <xdr:grpSp>
      <xdr:nvGrpSpPr>
        <xdr:cNvPr id="11" name="Group2">
          <a:extLst>
            <a:ext uri="{FF2B5EF4-FFF2-40B4-BE49-F238E27FC236}">
              <a16:creationId xmlns:a16="http://schemas.microsoft.com/office/drawing/2014/main" id="{B6086468-8A9A-4F48-98BB-71FD32EE54FF}"/>
            </a:ext>
          </a:extLst>
        </xdr:cNvPr>
        <xdr:cNvGrpSpPr/>
      </xdr:nvGrpSpPr>
      <xdr:grpSpPr>
        <a:xfrm>
          <a:off x="4066390" y="76199"/>
          <a:ext cx="1446680" cy="487680"/>
          <a:chOff x="9639300" y="76200"/>
          <a:chExt cx="1341120" cy="417600"/>
        </a:xfrm>
      </xdr:grpSpPr>
      <xdr:sp macro="[0]!Wywołani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0F9766F-7AFE-4134-8867-D1561F466A31}"/>
              </a:ext>
            </a:extLst>
          </xdr:cNvPr>
          <xdr:cNvSpPr/>
        </xdr:nvSpPr>
        <xdr:spPr>
          <a:xfrm>
            <a:off x="9639300" y="76200"/>
            <a:ext cx="1341120" cy="417600"/>
          </a:xfrm>
          <a:prstGeom prst="roundRect">
            <a:avLst/>
          </a:prstGeom>
          <a:ln w="28575">
            <a:solidFill>
              <a:schemeClr val="bg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100" b="1"/>
              <a:t>Add position</a:t>
            </a:r>
            <a:endParaRPr lang="en-GB" sz="1100" b="1"/>
          </a:p>
        </xdr:txBody>
      </xdr:sp>
      <xdr:pic macro="[0]!Wywołanie">
        <xdr:nvPicPr>
          <xdr:cNvPr id="10" name="Graphic 9" descr="Add">
            <a:extLst>
              <a:ext uri="{FF2B5EF4-FFF2-40B4-BE49-F238E27FC236}">
                <a16:creationId xmlns:a16="http://schemas.microsoft.com/office/drawing/2014/main" id="{23119449-3E86-4BAF-A79D-5B32A89795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700260" y="106680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186690</xdr:colOff>
      <xdr:row>1</xdr:row>
      <xdr:rowOff>5715</xdr:rowOff>
    </xdr:from>
    <xdr:to>
      <xdr:col>16</xdr:col>
      <xdr:colOff>853440</xdr:colOff>
      <xdr:row>4</xdr:row>
      <xdr:rowOff>201930</xdr:rowOff>
    </xdr:to>
    <xdr:sp macro="" textlink="">
      <xdr:nvSpPr>
        <xdr:cNvPr id="8" name="Hiding">
          <a:extLst>
            <a:ext uri="{FF2B5EF4-FFF2-40B4-BE49-F238E27FC236}">
              <a16:creationId xmlns:a16="http://schemas.microsoft.com/office/drawing/2014/main" id="{F5AC8B08-2F5A-40B2-8FC8-34493466C7F8}"/>
            </a:ext>
          </a:extLst>
        </xdr:cNvPr>
        <xdr:cNvSpPr/>
      </xdr:nvSpPr>
      <xdr:spPr>
        <a:xfrm>
          <a:off x="13426440" y="224790"/>
          <a:ext cx="1885950" cy="91059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>
              <a:solidFill>
                <a:schemeClr val="bg1"/>
              </a:solidFill>
            </a:rPr>
            <a:t>Click  "Help" again to hide help window</a:t>
          </a:r>
          <a:endParaRPr lang="en-GB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1428750</xdr:colOff>
      <xdr:row>0</xdr:row>
      <xdr:rowOff>108585</xdr:rowOff>
    </xdr:from>
    <xdr:to>
      <xdr:col>9</xdr:col>
      <xdr:colOff>670670</xdr:colOff>
      <xdr:row>2</xdr:row>
      <xdr:rowOff>131445</xdr:rowOff>
    </xdr:to>
    <xdr:grpSp>
      <xdr:nvGrpSpPr>
        <xdr:cNvPr id="21" name="Group3">
          <a:extLst>
            <a:ext uri="{FF2B5EF4-FFF2-40B4-BE49-F238E27FC236}">
              <a16:creationId xmlns:a16="http://schemas.microsoft.com/office/drawing/2014/main" id="{0D77ACD3-B98E-4B43-B5CA-A155AFF67FB5}"/>
            </a:ext>
          </a:extLst>
        </xdr:cNvPr>
        <xdr:cNvGrpSpPr/>
      </xdr:nvGrpSpPr>
      <xdr:grpSpPr>
        <a:xfrm>
          <a:off x="7989570" y="108585"/>
          <a:ext cx="2007980" cy="487680"/>
          <a:chOff x="9395460" y="60960"/>
          <a:chExt cx="1729740" cy="403860"/>
        </a:xfrm>
      </xdr:grpSpPr>
      <xdr:sp macro="[0]!Add_pos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5DBBE59C-83BD-4812-8264-EC12F059AA67}"/>
              </a:ext>
            </a:extLst>
          </xdr:cNvPr>
          <xdr:cNvSpPr/>
        </xdr:nvSpPr>
        <xdr:spPr>
          <a:xfrm>
            <a:off x="9395460" y="60960"/>
            <a:ext cx="1729740" cy="403860"/>
          </a:xfrm>
          <a:prstGeom prst="roundRect">
            <a:avLst/>
          </a:prstGeom>
          <a:ln w="31750">
            <a:solidFill>
              <a:schemeClr val="bg1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100" b="1"/>
              <a:t>Add</a:t>
            </a:r>
            <a:r>
              <a:rPr lang="pl-PL" sz="1100" b="1" baseline="0"/>
              <a:t> position to Invoice</a:t>
            </a:r>
            <a:endParaRPr lang="en-GB" sz="1100" b="1"/>
          </a:p>
        </xdr:txBody>
      </xdr:sp>
      <xdr:pic macro="[0]!Gotowe">
        <xdr:nvPicPr>
          <xdr:cNvPr id="20" name="Graphic 19" descr="Checkmark">
            <a:extLst>
              <a:ext uri="{FF2B5EF4-FFF2-40B4-BE49-F238E27FC236}">
                <a16:creationId xmlns:a16="http://schemas.microsoft.com/office/drawing/2014/main" id="{2F358176-B59C-47CB-9313-ECB32E496A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464040" y="83820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140970</xdr:rowOff>
    </xdr:from>
    <xdr:to>
      <xdr:col>3</xdr:col>
      <xdr:colOff>304800</xdr:colOff>
      <xdr:row>25</xdr:row>
      <xdr:rowOff>87630</xdr:rowOff>
    </xdr:to>
    <xdr:sp macro="" textlink="">
      <xdr:nvSpPr>
        <xdr:cNvPr id="22" name="Add">
          <a:extLst>
            <a:ext uri="{FF2B5EF4-FFF2-40B4-BE49-F238E27FC236}">
              <a16:creationId xmlns:a16="http://schemas.microsoft.com/office/drawing/2014/main" id="{AC11A685-E5F7-4A1B-8C74-1228380C50F6}"/>
            </a:ext>
          </a:extLst>
        </xdr:cNvPr>
        <xdr:cNvSpPr/>
      </xdr:nvSpPr>
      <xdr:spPr>
        <a:xfrm>
          <a:off x="0" y="3579495"/>
          <a:ext cx="2133600" cy="128016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>
              <a:solidFill>
                <a:schemeClr val="bg1"/>
              </a:solidFill>
            </a:rPr>
            <a:t>Click here</a:t>
          </a:r>
          <a:r>
            <a:rPr lang="pl-PL" sz="1200" b="1" baseline="0">
              <a:solidFill>
                <a:schemeClr val="bg1"/>
              </a:solidFill>
            </a:rPr>
            <a:t> to add a new possition to the list</a:t>
          </a:r>
          <a:endParaRPr lang="en-ZA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436245</xdr:colOff>
      <xdr:row>8</xdr:row>
      <xdr:rowOff>68580</xdr:rowOff>
    </xdr:from>
    <xdr:to>
      <xdr:col>19</xdr:col>
      <xdr:colOff>231962</xdr:colOff>
      <xdr:row>17</xdr:row>
      <xdr:rowOff>17929</xdr:rowOff>
    </xdr:to>
    <xdr:sp macro="" textlink="">
      <xdr:nvSpPr>
        <xdr:cNvPr id="23" name="Create">
          <a:extLst>
            <a:ext uri="{FF2B5EF4-FFF2-40B4-BE49-F238E27FC236}">
              <a16:creationId xmlns:a16="http://schemas.microsoft.com/office/drawing/2014/main" id="{74DE0C17-EFAC-4653-8E83-F8020F488EA6}"/>
            </a:ext>
          </a:extLst>
        </xdr:cNvPr>
        <xdr:cNvSpPr/>
      </xdr:nvSpPr>
      <xdr:spPr>
        <a:xfrm>
          <a:off x="13675995" y="1602105"/>
          <a:ext cx="3662867" cy="1663849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>
              <a:solidFill>
                <a:schemeClr val="bg1"/>
              </a:solidFill>
            </a:rPr>
            <a:t>After</a:t>
          </a:r>
          <a:r>
            <a:rPr lang="pl-PL" sz="1200" b="1" baseline="0">
              <a:solidFill>
                <a:schemeClr val="bg1"/>
              </a:solidFill>
            </a:rPr>
            <a:t> you get demanded output click here "Add position" to add entire row to invoice.</a:t>
          </a:r>
        </a:p>
        <a:p>
          <a:pPr algn="ctr"/>
          <a:endParaRPr lang="pl-PL" sz="1200" b="1" i="1" u="sng" baseline="0">
            <a:solidFill>
              <a:schemeClr val="bg1"/>
            </a:solidFill>
          </a:endParaRPr>
        </a:p>
        <a:p>
          <a:pPr algn="ctr"/>
          <a:r>
            <a:rPr lang="pl-PL" sz="1200" b="1" i="1" u="sng" baseline="0">
              <a:solidFill>
                <a:schemeClr val="bg1"/>
              </a:solidFill>
            </a:rPr>
            <a:t>Click Help button again to hide these boxes</a:t>
          </a:r>
          <a:endParaRPr lang="en-GB" sz="1200" b="1" i="1" u="sng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304800</xdr:colOff>
      <xdr:row>2</xdr:row>
      <xdr:rowOff>57150</xdr:rowOff>
    </xdr:from>
    <xdr:to>
      <xdr:col>5</xdr:col>
      <xdr:colOff>676275</xdr:colOff>
      <xdr:row>22</xdr:row>
      <xdr:rowOff>19050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F24A617-9384-40B3-9F38-A51973EB8AAE}"/>
            </a:ext>
          </a:extLst>
        </xdr:cNvPr>
        <xdr:cNvCxnSpPr>
          <a:stCxn id="22" idx="3"/>
        </xdr:cNvCxnSpPr>
      </xdr:nvCxnSpPr>
      <xdr:spPr>
        <a:xfrm flipV="1">
          <a:off x="2133600" y="533400"/>
          <a:ext cx="2228850" cy="3686175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581025</xdr:colOff>
      <xdr:row>3</xdr:row>
      <xdr:rowOff>228600</xdr:rowOff>
    </xdr:from>
    <xdr:to>
      <xdr:col>8</xdr:col>
      <xdr:colOff>47625</xdr:colOff>
      <xdr:row>5</xdr:row>
      <xdr:rowOff>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E7241B2E-98A3-47B0-B29C-57B3703D07F8}"/>
            </a:ext>
          </a:extLst>
        </xdr:cNvPr>
        <xdr:cNvSpPr/>
      </xdr:nvSpPr>
      <xdr:spPr>
        <a:xfrm>
          <a:off x="2409825" y="895350"/>
          <a:ext cx="5686425" cy="257175"/>
        </a:xfrm>
        <a:prstGeom prst="roundRect">
          <a:avLst/>
        </a:prstGeom>
        <a:solidFill>
          <a:schemeClr val="accent2">
            <a:lumMod val="60000"/>
            <a:lumOff val="40000"/>
            <a:alpha val="40000"/>
          </a:schemeClr>
        </a:solidFill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304800</xdr:colOff>
      <xdr:row>4</xdr:row>
      <xdr:rowOff>38101</xdr:rowOff>
    </xdr:from>
    <xdr:to>
      <xdr:col>5</xdr:col>
      <xdr:colOff>171450</xdr:colOff>
      <xdr:row>4</xdr:row>
      <xdr:rowOff>214313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FB88BCE4-C944-42EF-B5EB-95B585D8CA08}"/>
            </a:ext>
          </a:extLst>
        </xdr:cNvPr>
        <xdr:cNvCxnSpPr>
          <a:stCxn id="2" idx="3"/>
        </xdr:cNvCxnSpPr>
      </xdr:nvCxnSpPr>
      <xdr:spPr>
        <a:xfrm flipV="1">
          <a:off x="2133600" y="971551"/>
          <a:ext cx="1724025" cy="176212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514350</xdr:colOff>
      <xdr:row>2</xdr:row>
      <xdr:rowOff>95250</xdr:rowOff>
    </xdr:from>
    <xdr:to>
      <xdr:col>14</xdr:col>
      <xdr:colOff>436245</xdr:colOff>
      <xdr:row>12</xdr:row>
      <xdr:rowOff>138505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87E4D80B-868C-4DC4-B286-CEECCAC11396}"/>
            </a:ext>
          </a:extLst>
        </xdr:cNvPr>
        <xdr:cNvCxnSpPr>
          <a:stCxn id="23" idx="1"/>
        </xdr:cNvCxnSpPr>
      </xdr:nvCxnSpPr>
      <xdr:spPr>
        <a:xfrm flipH="1" flipV="1">
          <a:off x="9591675" y="571500"/>
          <a:ext cx="4084320" cy="1862530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2</xdr:row>
      <xdr:rowOff>0</xdr:rowOff>
    </xdr:from>
    <xdr:to>
      <xdr:col>4</xdr:col>
      <xdr:colOff>571500</xdr:colOff>
      <xdr:row>4</xdr:row>
      <xdr:rowOff>214313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0AD566A-B240-4606-B12B-0F2F79E3036C}"/>
            </a:ext>
          </a:extLst>
        </xdr:cNvPr>
        <xdr:cNvCxnSpPr>
          <a:stCxn id="2" idx="3"/>
        </xdr:cNvCxnSpPr>
      </xdr:nvCxnSpPr>
      <xdr:spPr>
        <a:xfrm flipV="1">
          <a:off x="2133600" y="476250"/>
          <a:ext cx="876300" cy="671513"/>
        </a:xfrm>
        <a:prstGeom prst="straightConnector1">
          <a:avLst/>
        </a:prstGeom>
        <a:ln w="317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885825</xdr:colOff>
      <xdr:row>0</xdr:row>
      <xdr:rowOff>104774</xdr:rowOff>
    </xdr:from>
    <xdr:to>
      <xdr:col>13</xdr:col>
      <xdr:colOff>190500</xdr:colOff>
      <xdr:row>2</xdr:row>
      <xdr:rowOff>133349</xdr:rowOff>
    </xdr:to>
    <xdr:sp macro="" textlink="">
      <xdr:nvSpPr>
        <xdr:cNvPr id="39" name="DateTime" hidden="1">
          <a:extLst>
            <a:ext uri="{FF2B5EF4-FFF2-40B4-BE49-F238E27FC236}">
              <a16:creationId xmlns:a16="http://schemas.microsoft.com/office/drawing/2014/main" id="{465EC03C-A607-4190-9492-BEA1DE8F49FC}"/>
            </a:ext>
          </a:extLst>
        </xdr:cNvPr>
        <xdr:cNvSpPr/>
      </xdr:nvSpPr>
      <xdr:spPr>
        <a:xfrm>
          <a:off x="10991850" y="104774"/>
          <a:ext cx="2124075" cy="504825"/>
        </a:xfrm>
        <a:prstGeom prst="roundRect">
          <a:avLst/>
        </a:prstGeom>
        <a:solidFill>
          <a:schemeClr val="dk1">
            <a:alpha val="10000"/>
          </a:schemeClr>
        </a:solidFill>
        <a:ln w="31750"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4</xdr:row>
      <xdr:rowOff>38100</xdr:rowOff>
    </xdr:from>
    <xdr:to>
      <xdr:col>4</xdr:col>
      <xdr:colOff>1095375</xdr:colOff>
      <xdr:row>5</xdr:row>
      <xdr:rowOff>59588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E91551-0E5E-4027-98D7-03A4E6BE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0" y="904875"/>
          <a:ext cx="2038350" cy="211988"/>
        </a:xfrm>
        <a:prstGeom prst="rect">
          <a:avLst/>
        </a:prstGeom>
      </xdr:spPr>
    </xdr:pic>
    <xdr:clientData/>
  </xdr:twoCellAnchor>
  <xdr:twoCellAnchor>
    <xdr:from>
      <xdr:col>6</xdr:col>
      <xdr:colOff>314325</xdr:colOff>
      <xdr:row>1</xdr:row>
      <xdr:rowOff>152400</xdr:rowOff>
    </xdr:from>
    <xdr:to>
      <xdr:col>9</xdr:col>
      <xdr:colOff>9525</xdr:colOff>
      <xdr:row>4</xdr:row>
      <xdr:rowOff>171450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D9612C0C-C8C5-4DD1-8B2D-96AFB114C28B}"/>
            </a:ext>
          </a:extLst>
        </xdr:cNvPr>
        <xdr:cNvGrpSpPr/>
      </xdr:nvGrpSpPr>
      <xdr:grpSpPr>
        <a:xfrm>
          <a:off x="6974205" y="449580"/>
          <a:ext cx="1638300" cy="567690"/>
          <a:chOff x="6781800" y="447675"/>
          <a:chExt cx="1590675" cy="590550"/>
        </a:xfrm>
      </xdr:grpSpPr>
      <xdr:sp macro="[0]!Export_PDF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72370A7-E091-48E8-BE44-75D1B7A4D776}"/>
              </a:ext>
            </a:extLst>
          </xdr:cNvPr>
          <xdr:cNvSpPr/>
        </xdr:nvSpPr>
        <xdr:spPr>
          <a:xfrm>
            <a:off x="6781800" y="447675"/>
            <a:ext cx="1590675" cy="59055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 w="25400">
            <a:solidFill>
              <a:schemeClr val="tx1"/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100" b="1">
                <a:solidFill>
                  <a:schemeClr val="bg1"/>
                </a:solidFill>
              </a:rPr>
              <a:t>Import</a:t>
            </a:r>
            <a:r>
              <a:rPr lang="pl-PL" sz="1100" b="1" baseline="0">
                <a:solidFill>
                  <a:schemeClr val="bg1"/>
                </a:solidFill>
              </a:rPr>
              <a:t> to PDF</a:t>
            </a:r>
            <a:endParaRPr lang="en-ZA" sz="1100" b="1">
              <a:solidFill>
                <a:schemeClr val="bg1"/>
              </a:solidFill>
            </a:endParaRPr>
          </a:p>
        </xdr:txBody>
      </xdr:sp>
      <xdr:pic macro="[0]!Export_PDF">
        <xdr:nvPicPr>
          <xdr:cNvPr id="5" name="Graphic 4" descr="Document">
            <a:extLst>
              <a:ext uri="{FF2B5EF4-FFF2-40B4-BE49-F238E27FC236}">
                <a16:creationId xmlns:a16="http://schemas.microsoft.com/office/drawing/2014/main" id="{29C31BFB-3A27-40F8-BB3E-89B2821D96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848475" y="495300"/>
            <a:ext cx="504000" cy="50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323850</xdr:colOff>
      <xdr:row>6</xdr:row>
      <xdr:rowOff>76200</xdr:rowOff>
    </xdr:from>
    <xdr:to>
      <xdr:col>9</xdr:col>
      <xdr:colOff>19050</xdr:colOff>
      <xdr:row>9</xdr:row>
      <xdr:rowOff>95250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FFF06B9-3C05-4D24-829F-31E5DD488018}"/>
            </a:ext>
          </a:extLst>
        </xdr:cNvPr>
        <xdr:cNvGrpSpPr/>
      </xdr:nvGrpSpPr>
      <xdr:grpSpPr>
        <a:xfrm>
          <a:off x="6983730" y="1287780"/>
          <a:ext cx="1638300" cy="567690"/>
          <a:chOff x="6791325" y="1323975"/>
          <a:chExt cx="1590675" cy="590550"/>
        </a:xfrm>
      </xdr:grpSpPr>
      <xdr:sp macro="[0]!Email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EB403230-BCE2-4E66-95E7-170510835FFD}"/>
              </a:ext>
            </a:extLst>
          </xdr:cNvPr>
          <xdr:cNvSpPr/>
        </xdr:nvSpPr>
        <xdr:spPr>
          <a:xfrm>
            <a:off x="6791325" y="1323975"/>
            <a:ext cx="1590675" cy="590550"/>
          </a:xfrm>
          <a:prstGeom prst="roundRect">
            <a:avLst/>
          </a:prstGeom>
          <a:solidFill>
            <a:schemeClr val="accent1">
              <a:lumMod val="50000"/>
            </a:schemeClr>
          </a:solidFill>
          <a:ln w="25400">
            <a:solidFill>
              <a:schemeClr val="tx1"/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l-PL" sz="1100" b="1">
                <a:solidFill>
                  <a:schemeClr val="bg1"/>
                </a:solidFill>
              </a:rPr>
              <a:t>Create</a:t>
            </a:r>
            <a:r>
              <a:rPr lang="pl-PL" sz="1100" b="1" baseline="0">
                <a:solidFill>
                  <a:schemeClr val="bg1"/>
                </a:solidFill>
              </a:rPr>
              <a:t> Email</a:t>
            </a:r>
            <a:endParaRPr lang="en-ZA" sz="1100" b="1">
              <a:solidFill>
                <a:schemeClr val="bg1"/>
              </a:solidFill>
            </a:endParaRPr>
          </a:p>
        </xdr:txBody>
      </xdr:sp>
      <xdr:pic macro="[0]!Email">
        <xdr:nvPicPr>
          <xdr:cNvPr id="8" name="Graphic 7" descr="Open envelope">
            <a:extLst>
              <a:ext uri="{FF2B5EF4-FFF2-40B4-BE49-F238E27FC236}">
                <a16:creationId xmlns:a16="http://schemas.microsoft.com/office/drawing/2014/main" id="{FE718414-0E78-4D35-8381-3B34A7B6CE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6924675" y="1362075"/>
            <a:ext cx="468000" cy="4680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171450</xdr:colOff>
      <xdr:row>6</xdr:row>
      <xdr:rowOff>123825</xdr:rowOff>
    </xdr:from>
    <xdr:to>
      <xdr:col>12</xdr:col>
      <xdr:colOff>220980</xdr:colOff>
      <xdr:row>9</xdr:row>
      <xdr:rowOff>76200</xdr:rowOff>
    </xdr:to>
    <xdr:sp macro="" textlink="">
      <xdr:nvSpPr>
        <xdr:cNvPr id="12" name="Double Wave 11">
          <a:extLst>
            <a:ext uri="{FF2B5EF4-FFF2-40B4-BE49-F238E27FC236}">
              <a16:creationId xmlns:a16="http://schemas.microsoft.com/office/drawing/2014/main" id="{312C847F-3B4A-4D9E-AF27-BF133C2D6622}"/>
            </a:ext>
          </a:extLst>
        </xdr:cNvPr>
        <xdr:cNvSpPr/>
      </xdr:nvSpPr>
      <xdr:spPr>
        <a:xfrm>
          <a:off x="8774430" y="1335405"/>
          <a:ext cx="2579370" cy="501015"/>
        </a:xfrm>
        <a:prstGeom prst="doubleWave">
          <a:avLst>
            <a:gd name="adj1" fmla="val 6250"/>
            <a:gd name="adj2" fmla="val 746"/>
          </a:avLst>
        </a:prstGeom>
        <a:solidFill>
          <a:schemeClr val="accent1">
            <a:lumMod val="50000"/>
          </a:schemeClr>
        </a:solidFill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>
              <a:solidFill>
                <a:schemeClr val="bg1"/>
              </a:solidFill>
            </a:rPr>
            <a:t>You</a:t>
          </a:r>
          <a:r>
            <a:rPr lang="pl-PL" sz="1200" baseline="0">
              <a:solidFill>
                <a:schemeClr val="bg1"/>
              </a:solidFill>
            </a:rPr>
            <a:t> need to open your Outlook first</a:t>
          </a:r>
          <a:endParaRPr lang="en-ZA" sz="12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180975</xdr:colOff>
      <xdr:row>1</xdr:row>
      <xdr:rowOff>123825</xdr:rowOff>
    </xdr:from>
    <xdr:to>
      <xdr:col>11</xdr:col>
      <xdr:colOff>133350</xdr:colOff>
      <xdr:row>5</xdr:row>
      <xdr:rowOff>19050</xdr:rowOff>
    </xdr:to>
    <xdr:sp macro="" textlink="">
      <xdr:nvSpPr>
        <xdr:cNvPr id="10" name="Double Wave 9">
          <a:extLst>
            <a:ext uri="{FF2B5EF4-FFF2-40B4-BE49-F238E27FC236}">
              <a16:creationId xmlns:a16="http://schemas.microsoft.com/office/drawing/2014/main" id="{E82C7FEB-8386-4E48-BF2F-FCDDA0E3958B}"/>
            </a:ext>
          </a:extLst>
        </xdr:cNvPr>
        <xdr:cNvSpPr/>
      </xdr:nvSpPr>
      <xdr:spPr>
        <a:xfrm>
          <a:off x="8543925" y="419100"/>
          <a:ext cx="1809750" cy="657225"/>
        </a:xfrm>
        <a:prstGeom prst="doubleWave">
          <a:avLst>
            <a:gd name="adj1" fmla="val 6250"/>
            <a:gd name="adj2" fmla="val 746"/>
          </a:avLst>
        </a:prstGeom>
        <a:solidFill>
          <a:schemeClr val="accent1">
            <a:lumMod val="50000"/>
          </a:schemeClr>
        </a:solidFill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200" baseline="0">
              <a:solidFill>
                <a:schemeClr val="bg1"/>
              </a:solidFill>
            </a:rPr>
            <a:t>Click to create PDF file</a:t>
          </a:r>
        </a:p>
        <a:p>
          <a:pPr algn="l"/>
          <a:r>
            <a:rPr lang="pl-PL" sz="1200" baseline="0">
              <a:solidFill>
                <a:schemeClr val="bg1"/>
              </a:solidFill>
            </a:rPr>
            <a:t>Then atach it to email</a:t>
          </a:r>
          <a:endParaRPr lang="en-ZA" sz="12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ilter" filterMode="1"/>
  <dimension ref="E1:Q147"/>
  <sheetViews>
    <sheetView tabSelected="1" zoomScaleNormal="100" workbookViewId="0">
      <selection activeCell="T29" sqref="T29"/>
    </sheetView>
  </sheetViews>
  <sheetFormatPr defaultColWidth="9.109375" defaultRowHeight="15" customHeight="1" x14ac:dyDescent="0.3"/>
  <cols>
    <col min="1" max="4" width="9.109375" style="5"/>
    <col min="5" max="5" width="18.6640625" style="15" customWidth="1"/>
    <col min="6" max="6" width="21.6640625" style="15" customWidth="1"/>
    <col min="7" max="7" width="18.88671875" style="15" bestFit="1" customWidth="1"/>
    <col min="8" max="8" width="24.88671875" style="15" bestFit="1" customWidth="1"/>
    <col min="9" max="9" width="15.44140625" style="15" bestFit="1" customWidth="1"/>
    <col min="10" max="10" width="15.44140625" style="15" customWidth="1"/>
    <col min="11" max="11" width="14.44140625" style="15" bestFit="1" customWidth="1"/>
    <col min="12" max="12" width="6.44140625" style="15" customWidth="1"/>
    <col min="13" max="13" width="21.44140625" style="15" customWidth="1"/>
    <col min="14" max="14" width="8.44140625" style="15" bestFit="1" customWidth="1"/>
    <col min="15" max="16" width="9.109375" style="5"/>
    <col min="17" max="17" width="21.44140625" style="5" bestFit="1" customWidth="1"/>
    <col min="18" max="23" width="9.109375" style="5"/>
    <col min="24" max="24" width="15.6640625" style="5" bestFit="1" customWidth="1"/>
    <col min="25" max="25" width="23.88671875" style="5" bestFit="1" customWidth="1"/>
    <col min="26" max="16384" width="9.109375" style="5"/>
  </cols>
  <sheetData>
    <row r="1" spans="5:17" ht="17.25" customHeight="1" x14ac:dyDescent="0.55000000000000004">
      <c r="E1" s="20"/>
      <c r="F1" s="41"/>
      <c r="G1" s="51" t="s">
        <v>50</v>
      </c>
      <c r="H1" s="51"/>
      <c r="I1" s="41"/>
      <c r="J1" s="41"/>
      <c r="K1" s="41"/>
      <c r="L1" s="20"/>
      <c r="M1" s="20"/>
      <c r="N1" s="20"/>
    </row>
    <row r="2" spans="5:17" ht="20.25" customHeight="1" x14ac:dyDescent="0.55000000000000004">
      <c r="E2" s="5"/>
      <c r="F2" s="42"/>
      <c r="G2" s="51"/>
      <c r="H2" s="51"/>
      <c r="I2" s="42"/>
      <c r="J2" s="42"/>
      <c r="K2" s="42"/>
      <c r="L2" s="46" t="s">
        <v>51</v>
      </c>
      <c r="M2" s="19">
        <f ca="1">NOW()</f>
        <v>44579.820008449075</v>
      </c>
      <c r="N2" s="5"/>
      <c r="O2" s="18"/>
      <c r="Q2" s="19"/>
    </row>
    <row r="3" spans="5:17" ht="15" customHeight="1" thickBot="1" x14ac:dyDescent="0.35">
      <c r="E3" s="5"/>
      <c r="F3" s="5"/>
      <c r="G3" s="5"/>
      <c r="H3" s="7" t="s">
        <v>43</v>
      </c>
      <c r="I3" s="5"/>
      <c r="J3" s="5"/>
      <c r="K3" s="5"/>
      <c r="L3" s="5"/>
      <c r="M3" s="5"/>
      <c r="N3" s="5"/>
    </row>
    <row r="4" spans="5:17" ht="21" customHeight="1" x14ac:dyDescent="0.3">
      <c r="E4" s="6" t="s">
        <v>37</v>
      </c>
      <c r="F4" s="40" t="s">
        <v>47</v>
      </c>
      <c r="G4" s="4" t="s">
        <v>38</v>
      </c>
      <c r="H4" s="4" t="s">
        <v>39</v>
      </c>
      <c r="I4" s="49" t="s">
        <v>40</v>
      </c>
      <c r="J4" s="49" t="s">
        <v>61</v>
      </c>
      <c r="K4" s="49" t="s">
        <v>52</v>
      </c>
      <c r="L4" s="53" t="s">
        <v>41</v>
      </c>
      <c r="M4" s="49" t="s">
        <v>81</v>
      </c>
      <c r="N4" s="47" t="s">
        <v>42</v>
      </c>
    </row>
    <row r="5" spans="5:17" ht="17.25" customHeight="1" thickBot="1" x14ac:dyDescent="0.35">
      <c r="E5" s="8"/>
      <c r="F5" s="14"/>
      <c r="G5" s="9"/>
      <c r="H5" s="9"/>
      <c r="I5" s="52"/>
      <c r="J5" s="50"/>
      <c r="K5" s="52"/>
      <c r="L5" s="54"/>
      <c r="M5" s="50"/>
      <c r="N5" s="48"/>
    </row>
    <row r="6" spans="5:17" customFormat="1" ht="13.5" hidden="1" customHeight="1" x14ac:dyDescent="0.3">
      <c r="E6" s="10"/>
      <c r="F6" s="45"/>
      <c r="G6" s="11"/>
      <c r="H6" s="11"/>
      <c r="I6" s="11"/>
      <c r="J6" s="11"/>
      <c r="K6" s="11"/>
      <c r="L6" s="44"/>
      <c r="M6" s="11"/>
      <c r="N6" s="12"/>
    </row>
    <row r="7" spans="5:17" ht="15" customHeight="1" x14ac:dyDescent="0.3">
      <c r="E7" s="2" t="s">
        <v>3</v>
      </c>
      <c r="F7" s="13">
        <v>2450</v>
      </c>
      <c r="G7" s="1" t="s">
        <v>4</v>
      </c>
      <c r="H7" s="1" t="s">
        <v>5</v>
      </c>
      <c r="I7" s="1" t="s">
        <v>44</v>
      </c>
      <c r="J7" s="1" t="s">
        <v>63</v>
      </c>
      <c r="K7" s="1" t="s">
        <v>82</v>
      </c>
      <c r="L7" s="43">
        <v>0</v>
      </c>
      <c r="M7" s="1">
        <v>19876543211</v>
      </c>
      <c r="N7" s="3" t="s">
        <v>2</v>
      </c>
    </row>
    <row r="8" spans="5:17" ht="15" customHeight="1" x14ac:dyDescent="0.3">
      <c r="E8" s="2" t="s">
        <v>6</v>
      </c>
      <c r="F8" s="13">
        <v>1448</v>
      </c>
      <c r="G8" s="1" t="s">
        <v>7</v>
      </c>
      <c r="H8" s="1" t="s">
        <v>8</v>
      </c>
      <c r="I8" s="1" t="s">
        <v>36</v>
      </c>
      <c r="J8" s="1" t="s">
        <v>64</v>
      </c>
      <c r="K8" s="1" t="s">
        <v>83</v>
      </c>
      <c r="L8" s="43">
        <v>0</v>
      </c>
      <c r="M8" s="1">
        <v>19876543212</v>
      </c>
      <c r="N8" s="3" t="s">
        <v>2</v>
      </c>
    </row>
    <row r="9" spans="5:17" ht="15" customHeight="1" x14ac:dyDescent="0.3">
      <c r="E9" s="2" t="s">
        <v>9</v>
      </c>
      <c r="F9" s="13">
        <v>1984</v>
      </c>
      <c r="G9" s="1" t="s">
        <v>10</v>
      </c>
      <c r="H9" s="1" t="s">
        <v>0</v>
      </c>
      <c r="I9" s="1" t="s">
        <v>1</v>
      </c>
      <c r="J9" s="1" t="s">
        <v>62</v>
      </c>
      <c r="K9" s="1" t="s">
        <v>84</v>
      </c>
      <c r="L9" s="43">
        <v>0.2</v>
      </c>
      <c r="M9" s="1">
        <v>19876543213</v>
      </c>
      <c r="N9" s="3" t="s">
        <v>2</v>
      </c>
    </row>
    <row r="10" spans="5:17" ht="15" customHeight="1" x14ac:dyDescent="0.3">
      <c r="E10" s="2" t="s">
        <v>11</v>
      </c>
      <c r="F10" s="13">
        <v>1009</v>
      </c>
      <c r="G10" s="1" t="s">
        <v>12</v>
      </c>
      <c r="H10" s="1" t="s">
        <v>0</v>
      </c>
      <c r="I10" s="1" t="s">
        <v>1</v>
      </c>
      <c r="J10" s="1" t="s">
        <v>62</v>
      </c>
      <c r="K10" s="1" t="s">
        <v>85</v>
      </c>
      <c r="L10" s="43">
        <v>0.2</v>
      </c>
      <c r="M10" s="1">
        <v>19876543214</v>
      </c>
      <c r="N10" s="3" t="s">
        <v>2</v>
      </c>
    </row>
    <row r="11" spans="5:17" ht="15" customHeight="1" x14ac:dyDescent="0.3">
      <c r="E11" s="2" t="s">
        <v>13</v>
      </c>
      <c r="F11" s="13">
        <v>2001</v>
      </c>
      <c r="G11" s="1" t="s">
        <v>14</v>
      </c>
      <c r="H11" s="1" t="s">
        <v>15</v>
      </c>
      <c r="I11" s="1" t="s">
        <v>45</v>
      </c>
      <c r="J11" s="1" t="s">
        <v>69</v>
      </c>
      <c r="K11" s="1" t="s">
        <v>86</v>
      </c>
      <c r="L11" s="43">
        <v>0</v>
      </c>
      <c r="M11" s="1">
        <v>19876543215</v>
      </c>
      <c r="N11" s="3" t="s">
        <v>2</v>
      </c>
    </row>
    <row r="12" spans="5:17" ht="15" customHeight="1" x14ac:dyDescent="0.3">
      <c r="E12" s="2" t="s">
        <v>16</v>
      </c>
      <c r="F12" s="13">
        <v>3145</v>
      </c>
      <c r="G12" s="1" t="s">
        <v>17</v>
      </c>
      <c r="H12" s="1" t="s">
        <v>18</v>
      </c>
      <c r="I12" s="1" t="s">
        <v>22</v>
      </c>
      <c r="J12" s="1" t="s">
        <v>65</v>
      </c>
      <c r="K12" s="1" t="s">
        <v>87</v>
      </c>
      <c r="L12" s="43">
        <v>0</v>
      </c>
      <c r="M12" s="1">
        <v>19876543216</v>
      </c>
      <c r="N12" s="3" t="s">
        <v>2</v>
      </c>
    </row>
    <row r="13" spans="5:17" ht="15" customHeight="1" x14ac:dyDescent="0.3">
      <c r="E13" s="2" t="s">
        <v>19</v>
      </c>
      <c r="F13" s="13">
        <v>869</v>
      </c>
      <c r="G13" s="1" t="s">
        <v>20</v>
      </c>
      <c r="H13" s="1" t="s">
        <v>21</v>
      </c>
      <c r="I13" s="1" t="s">
        <v>22</v>
      </c>
      <c r="J13" s="1" t="s">
        <v>65</v>
      </c>
      <c r="K13" s="1" t="s">
        <v>88</v>
      </c>
      <c r="L13" s="43">
        <v>0.2</v>
      </c>
      <c r="M13" s="1">
        <v>19876543217</v>
      </c>
      <c r="N13" s="3" t="s">
        <v>2</v>
      </c>
    </row>
    <row r="14" spans="5:17" ht="15" customHeight="1" x14ac:dyDescent="0.3">
      <c r="E14" s="2" t="s">
        <v>13</v>
      </c>
      <c r="F14" s="13">
        <v>224</v>
      </c>
      <c r="G14" s="1" t="s">
        <v>14</v>
      </c>
      <c r="H14" s="1" t="s">
        <v>15</v>
      </c>
      <c r="I14" s="1" t="s">
        <v>22</v>
      </c>
      <c r="J14" s="1" t="s">
        <v>66</v>
      </c>
      <c r="K14" s="1" t="s">
        <v>89</v>
      </c>
      <c r="L14" s="43">
        <v>0</v>
      </c>
      <c r="M14" s="1">
        <v>19876543218</v>
      </c>
      <c r="N14" s="3" t="s">
        <v>2</v>
      </c>
    </row>
    <row r="15" spans="5:17" ht="15" customHeight="1" x14ac:dyDescent="0.3">
      <c r="E15" s="2" t="s">
        <v>6</v>
      </c>
      <c r="F15" s="13">
        <v>1890</v>
      </c>
      <c r="G15" s="1" t="s">
        <v>7</v>
      </c>
      <c r="H15" s="1" t="s">
        <v>8</v>
      </c>
      <c r="I15" s="1" t="s">
        <v>36</v>
      </c>
      <c r="J15" s="1" t="s">
        <v>67</v>
      </c>
      <c r="K15" s="1" t="s">
        <v>90</v>
      </c>
      <c r="L15" s="43">
        <v>0</v>
      </c>
      <c r="M15" s="1">
        <v>19876543219</v>
      </c>
      <c r="N15" s="3" t="s">
        <v>2</v>
      </c>
    </row>
    <row r="16" spans="5:17" ht="15" customHeight="1" x14ac:dyDescent="0.3">
      <c r="E16" s="2" t="s">
        <v>3</v>
      </c>
      <c r="F16" s="13">
        <v>1009</v>
      </c>
      <c r="G16" s="1" t="s">
        <v>4</v>
      </c>
      <c r="H16" s="1" t="s">
        <v>5</v>
      </c>
      <c r="I16" s="1" t="s">
        <v>44</v>
      </c>
      <c r="J16" s="1" t="s">
        <v>63</v>
      </c>
      <c r="K16" s="1" t="s">
        <v>91</v>
      </c>
      <c r="L16" s="43">
        <v>0</v>
      </c>
      <c r="M16" s="1">
        <v>19876543220</v>
      </c>
      <c r="N16" s="3" t="s">
        <v>30</v>
      </c>
    </row>
    <row r="17" spans="5:14" ht="15" customHeight="1" x14ac:dyDescent="0.3">
      <c r="E17" s="2" t="s">
        <v>13</v>
      </c>
      <c r="F17" s="13">
        <v>1004</v>
      </c>
      <c r="G17" s="1" t="s">
        <v>14</v>
      </c>
      <c r="H17" s="1" t="s">
        <v>15</v>
      </c>
      <c r="I17" s="1" t="s">
        <v>44</v>
      </c>
      <c r="J17" s="1" t="s">
        <v>63</v>
      </c>
      <c r="K17" s="1" t="s">
        <v>92</v>
      </c>
      <c r="L17" s="43">
        <v>0</v>
      </c>
      <c r="M17" s="1">
        <v>19876543221</v>
      </c>
      <c r="N17" s="3" t="s">
        <v>2</v>
      </c>
    </row>
    <row r="18" spans="5:14" ht="15" customHeight="1" x14ac:dyDescent="0.3">
      <c r="E18" s="2" t="s">
        <v>23</v>
      </c>
      <c r="F18" s="13">
        <v>145</v>
      </c>
      <c r="G18" s="1" t="s">
        <v>24</v>
      </c>
      <c r="H18" s="1" t="s">
        <v>25</v>
      </c>
      <c r="I18" s="1" t="s">
        <v>46</v>
      </c>
      <c r="J18" s="1" t="s">
        <v>68</v>
      </c>
      <c r="K18" s="1" t="s">
        <v>93</v>
      </c>
      <c r="L18" s="43">
        <v>0</v>
      </c>
      <c r="M18" s="1">
        <v>19876543222</v>
      </c>
      <c r="N18" s="3" t="s">
        <v>2</v>
      </c>
    </row>
    <row r="19" spans="5:14" ht="15" customHeight="1" x14ac:dyDescent="0.3">
      <c r="E19" s="2" t="s">
        <v>3</v>
      </c>
      <c r="F19" s="13">
        <v>1345</v>
      </c>
      <c r="G19" s="1" t="s">
        <v>4</v>
      </c>
      <c r="H19" s="1" t="s">
        <v>5</v>
      </c>
      <c r="I19" s="1" t="s">
        <v>46</v>
      </c>
      <c r="J19" s="1" t="s">
        <v>68</v>
      </c>
      <c r="K19" s="1" t="s">
        <v>94</v>
      </c>
      <c r="L19" s="43">
        <v>0</v>
      </c>
      <c r="M19" s="1">
        <v>19876543223</v>
      </c>
      <c r="N19" s="3" t="s">
        <v>2</v>
      </c>
    </row>
    <row r="20" spans="5:14" ht="15" customHeight="1" x14ac:dyDescent="0.3">
      <c r="E20" s="2" t="s">
        <v>26</v>
      </c>
      <c r="F20" s="13">
        <v>1765</v>
      </c>
      <c r="G20" s="1" t="s">
        <v>27</v>
      </c>
      <c r="H20" s="1" t="s">
        <v>28</v>
      </c>
      <c r="I20" s="1" t="s">
        <v>46</v>
      </c>
      <c r="J20" s="1" t="s">
        <v>68</v>
      </c>
      <c r="K20" s="1" t="s">
        <v>95</v>
      </c>
      <c r="L20" s="43">
        <v>0</v>
      </c>
      <c r="M20" s="1">
        <v>19876543224</v>
      </c>
      <c r="N20" s="3" t="s">
        <v>2</v>
      </c>
    </row>
    <row r="21" spans="5:14" ht="15" customHeight="1" x14ac:dyDescent="0.3">
      <c r="E21" s="2" t="s">
        <v>13</v>
      </c>
      <c r="F21" s="13">
        <v>1888</v>
      </c>
      <c r="G21" s="1" t="s">
        <v>14</v>
      </c>
      <c r="H21" s="1" t="s">
        <v>15</v>
      </c>
      <c r="I21" s="1" t="s">
        <v>1</v>
      </c>
      <c r="J21" s="1" t="s">
        <v>62</v>
      </c>
      <c r="K21" s="1" t="s">
        <v>96</v>
      </c>
      <c r="L21" s="43">
        <v>0</v>
      </c>
      <c r="M21" s="1">
        <v>19876543225</v>
      </c>
      <c r="N21" s="3" t="s">
        <v>2</v>
      </c>
    </row>
    <row r="22" spans="5:14" ht="15" customHeight="1" x14ac:dyDescent="0.3">
      <c r="E22" s="2" t="s">
        <v>13</v>
      </c>
      <c r="F22" s="13">
        <v>1999</v>
      </c>
      <c r="G22" s="1" t="s">
        <v>29</v>
      </c>
      <c r="H22" s="1" t="s">
        <v>15</v>
      </c>
      <c r="I22" s="1" t="s">
        <v>44</v>
      </c>
      <c r="J22" s="1" t="s">
        <v>63</v>
      </c>
      <c r="K22" s="1" t="s">
        <v>97</v>
      </c>
      <c r="L22" s="43">
        <v>0</v>
      </c>
      <c r="M22" s="1">
        <v>19876543226</v>
      </c>
      <c r="N22" s="3" t="s">
        <v>2</v>
      </c>
    </row>
    <row r="23" spans="5:14" ht="15" customHeight="1" x14ac:dyDescent="0.3">
      <c r="E23" s="2" t="s">
        <v>23</v>
      </c>
      <c r="F23" s="13">
        <v>2100</v>
      </c>
      <c r="G23" s="1" t="s">
        <v>24</v>
      </c>
      <c r="H23" s="1" t="s">
        <v>25</v>
      </c>
      <c r="I23" s="1" t="s">
        <v>45</v>
      </c>
      <c r="J23" s="1" t="s">
        <v>69</v>
      </c>
      <c r="K23" s="1" t="s">
        <v>98</v>
      </c>
      <c r="L23" s="43">
        <v>0</v>
      </c>
      <c r="M23" s="1">
        <v>19876543227</v>
      </c>
      <c r="N23" s="3" t="s">
        <v>2</v>
      </c>
    </row>
    <row r="24" spans="5:14" ht="15" customHeight="1" x14ac:dyDescent="0.3">
      <c r="E24" s="2" t="s">
        <v>26</v>
      </c>
      <c r="F24" s="13">
        <v>2200</v>
      </c>
      <c r="G24" s="1" t="s">
        <v>27</v>
      </c>
      <c r="H24" s="1" t="s">
        <v>28</v>
      </c>
      <c r="I24" s="1" t="s">
        <v>45</v>
      </c>
      <c r="J24" s="1" t="s">
        <v>69</v>
      </c>
      <c r="K24" s="1" t="s">
        <v>99</v>
      </c>
      <c r="L24" s="43">
        <v>0</v>
      </c>
      <c r="M24" s="1">
        <v>19876543228</v>
      </c>
      <c r="N24" s="3" t="s">
        <v>2</v>
      </c>
    </row>
    <row r="25" spans="5:14" ht="15" customHeight="1" x14ac:dyDescent="0.3">
      <c r="E25" s="2" t="s">
        <v>13</v>
      </c>
      <c r="F25" s="13">
        <v>3400</v>
      </c>
      <c r="G25" s="1" t="s">
        <v>14</v>
      </c>
      <c r="H25" s="1" t="s">
        <v>15</v>
      </c>
      <c r="I25" s="1" t="s">
        <v>22</v>
      </c>
      <c r="J25" s="1" t="s">
        <v>65</v>
      </c>
      <c r="K25" s="1" t="s">
        <v>100</v>
      </c>
      <c r="L25" s="43">
        <v>0</v>
      </c>
      <c r="M25" s="1">
        <v>19876543229</v>
      </c>
      <c r="N25" s="3" t="s">
        <v>2</v>
      </c>
    </row>
    <row r="26" spans="5:14" ht="15" customHeight="1" x14ac:dyDescent="0.3">
      <c r="E26" s="2" t="s">
        <v>26</v>
      </c>
      <c r="F26" s="13">
        <v>2300</v>
      </c>
      <c r="G26" s="1" t="s">
        <v>27</v>
      </c>
      <c r="H26" s="1" t="s">
        <v>28</v>
      </c>
      <c r="I26" s="1" t="s">
        <v>48</v>
      </c>
      <c r="J26" s="1" t="s">
        <v>70</v>
      </c>
      <c r="K26" s="1" t="s">
        <v>101</v>
      </c>
      <c r="L26" s="43">
        <v>0</v>
      </c>
      <c r="M26" s="1">
        <v>19876543230</v>
      </c>
      <c r="N26" s="3" t="s">
        <v>2</v>
      </c>
    </row>
    <row r="27" spans="5:14" ht="15" customHeight="1" x14ac:dyDescent="0.3">
      <c r="E27" s="2" t="s">
        <v>13</v>
      </c>
      <c r="F27" s="13">
        <v>1200</v>
      </c>
      <c r="G27" s="1" t="s">
        <v>14</v>
      </c>
      <c r="H27" s="1" t="s">
        <v>15</v>
      </c>
      <c r="I27" s="1" t="s">
        <v>48</v>
      </c>
      <c r="J27" s="1" t="s">
        <v>70</v>
      </c>
      <c r="K27" s="1" t="s">
        <v>102</v>
      </c>
      <c r="L27" s="43">
        <v>0</v>
      </c>
      <c r="M27" s="1">
        <v>19876543231</v>
      </c>
      <c r="N27" s="3" t="s">
        <v>2</v>
      </c>
    </row>
    <row r="28" spans="5:14" ht="15" customHeight="1" x14ac:dyDescent="0.3">
      <c r="E28" s="2" t="s">
        <v>13</v>
      </c>
      <c r="F28" s="13">
        <v>876</v>
      </c>
      <c r="G28" s="1" t="s">
        <v>29</v>
      </c>
      <c r="H28" s="1" t="s">
        <v>15</v>
      </c>
      <c r="I28" s="1" t="s">
        <v>1</v>
      </c>
      <c r="J28" s="1" t="s">
        <v>62</v>
      </c>
      <c r="K28" s="1" t="s">
        <v>105</v>
      </c>
      <c r="L28" s="43">
        <v>0</v>
      </c>
      <c r="M28" s="1">
        <v>19876543232</v>
      </c>
      <c r="N28" s="3" t="s">
        <v>2</v>
      </c>
    </row>
    <row r="29" spans="5:14" ht="15" customHeight="1" x14ac:dyDescent="0.3">
      <c r="E29" s="2" t="s">
        <v>23</v>
      </c>
      <c r="F29" s="13">
        <v>564</v>
      </c>
      <c r="G29" s="1" t="s">
        <v>24</v>
      </c>
      <c r="H29" s="1" t="s">
        <v>25</v>
      </c>
      <c r="I29" s="1" t="s">
        <v>48</v>
      </c>
      <c r="J29" s="1" t="s">
        <v>70</v>
      </c>
      <c r="K29" s="1" t="s">
        <v>103</v>
      </c>
      <c r="L29" s="43">
        <v>0</v>
      </c>
      <c r="M29" s="1">
        <v>19876543233</v>
      </c>
      <c r="N29" s="3" t="s">
        <v>2</v>
      </c>
    </row>
    <row r="30" spans="5:14" ht="15" customHeight="1" x14ac:dyDescent="0.3">
      <c r="E30" s="2" t="s">
        <v>26</v>
      </c>
      <c r="F30" s="13">
        <v>345</v>
      </c>
      <c r="G30" s="1" t="s">
        <v>27</v>
      </c>
      <c r="H30" s="1" t="s">
        <v>28</v>
      </c>
      <c r="I30" s="1" t="s">
        <v>1</v>
      </c>
      <c r="J30" s="1" t="s">
        <v>62</v>
      </c>
      <c r="K30" s="1" t="s">
        <v>106</v>
      </c>
      <c r="L30" s="43">
        <v>0</v>
      </c>
      <c r="M30" s="1">
        <v>19876543234</v>
      </c>
      <c r="N30" s="3" t="s">
        <v>2</v>
      </c>
    </row>
    <row r="31" spans="5:14" ht="15" customHeight="1" x14ac:dyDescent="0.3">
      <c r="E31" s="2" t="s">
        <v>6</v>
      </c>
      <c r="F31" s="13">
        <v>777</v>
      </c>
      <c r="G31" s="1" t="s">
        <v>7</v>
      </c>
      <c r="H31" s="1" t="s">
        <v>8</v>
      </c>
      <c r="I31" s="1" t="s">
        <v>36</v>
      </c>
      <c r="J31" s="1" t="s">
        <v>67</v>
      </c>
      <c r="K31" s="1" t="s">
        <v>104</v>
      </c>
      <c r="L31" s="43">
        <v>0</v>
      </c>
      <c r="M31" s="1">
        <v>19876543235</v>
      </c>
      <c r="N31" s="3" t="s">
        <v>2</v>
      </c>
    </row>
    <row r="32" spans="5:14" ht="15" customHeight="1" x14ac:dyDescent="0.3">
      <c r="E32" s="2" t="s">
        <v>9</v>
      </c>
      <c r="F32" s="13">
        <v>234</v>
      </c>
      <c r="G32" s="1" t="s">
        <v>10</v>
      </c>
      <c r="H32" s="1" t="s">
        <v>0</v>
      </c>
      <c r="I32" s="1" t="s">
        <v>36</v>
      </c>
      <c r="J32" s="1" t="s">
        <v>64</v>
      </c>
      <c r="K32" s="1" t="s">
        <v>108</v>
      </c>
      <c r="L32" s="43">
        <v>0.2</v>
      </c>
      <c r="M32" s="1">
        <v>19876543236</v>
      </c>
      <c r="N32" s="3" t="s">
        <v>2</v>
      </c>
    </row>
    <row r="33" spans="5:14" ht="15" customHeight="1" x14ac:dyDescent="0.3">
      <c r="E33" s="2" t="s">
        <v>11</v>
      </c>
      <c r="F33" s="13">
        <v>1900</v>
      </c>
      <c r="G33" s="1" t="s">
        <v>12</v>
      </c>
      <c r="H33" s="1" t="s">
        <v>0</v>
      </c>
      <c r="I33" s="1" t="s">
        <v>49</v>
      </c>
      <c r="J33" s="1" t="s">
        <v>71</v>
      </c>
      <c r="K33" s="1" t="s">
        <v>109</v>
      </c>
      <c r="L33" s="43">
        <v>0.2</v>
      </c>
      <c r="M33" s="1">
        <v>19876543237</v>
      </c>
      <c r="N33" s="3" t="s">
        <v>30</v>
      </c>
    </row>
    <row r="34" spans="5:14" ht="15" customHeight="1" x14ac:dyDescent="0.3">
      <c r="E34" s="2" t="s">
        <v>13</v>
      </c>
      <c r="F34" s="13">
        <v>1099</v>
      </c>
      <c r="G34" s="1" t="s">
        <v>14</v>
      </c>
      <c r="H34" s="1" t="s">
        <v>15</v>
      </c>
      <c r="I34" s="1" t="s">
        <v>49</v>
      </c>
      <c r="J34" s="1" t="s">
        <v>71</v>
      </c>
      <c r="K34" s="1" t="s">
        <v>107</v>
      </c>
      <c r="L34" s="43">
        <v>0</v>
      </c>
      <c r="M34" s="1">
        <v>19876543238</v>
      </c>
      <c r="N34" s="3" t="s">
        <v>2</v>
      </c>
    </row>
    <row r="35" spans="5:14" ht="15" customHeight="1" x14ac:dyDescent="0.3">
      <c r="E35" s="2" t="s">
        <v>16</v>
      </c>
      <c r="F35" s="13">
        <v>1390</v>
      </c>
      <c r="G35" s="1" t="s">
        <v>17</v>
      </c>
      <c r="H35" s="1" t="s">
        <v>18</v>
      </c>
      <c r="I35" s="1" t="s">
        <v>49</v>
      </c>
      <c r="J35" s="1" t="s">
        <v>71</v>
      </c>
      <c r="K35" s="1" t="s">
        <v>110</v>
      </c>
      <c r="L35" s="43">
        <v>0</v>
      </c>
      <c r="M35" s="1">
        <v>19876543239</v>
      </c>
      <c r="N35" s="3" t="s">
        <v>2</v>
      </c>
    </row>
    <row r="36" spans="5:14" ht="15" customHeight="1" x14ac:dyDescent="0.3">
      <c r="E36" s="2" t="s">
        <v>19</v>
      </c>
      <c r="F36" s="13">
        <v>1333</v>
      </c>
      <c r="G36" s="1" t="s">
        <v>20</v>
      </c>
      <c r="H36" s="1" t="s">
        <v>21</v>
      </c>
      <c r="I36" s="1" t="s">
        <v>22</v>
      </c>
      <c r="J36" s="1" t="s">
        <v>65</v>
      </c>
      <c r="K36" s="1" t="s">
        <v>88</v>
      </c>
      <c r="L36" s="43">
        <v>0.2</v>
      </c>
      <c r="M36" s="1">
        <v>19876543240</v>
      </c>
      <c r="N36" s="3" t="s">
        <v>2</v>
      </c>
    </row>
    <row r="37" spans="5:14" ht="15" customHeight="1" x14ac:dyDescent="0.3">
      <c r="E37" s="2" t="s">
        <v>31</v>
      </c>
      <c r="F37" s="13">
        <v>1444</v>
      </c>
      <c r="G37" s="1" t="s">
        <v>32</v>
      </c>
      <c r="H37" s="1" t="s">
        <v>33</v>
      </c>
      <c r="I37" s="1" t="s">
        <v>1</v>
      </c>
      <c r="J37" s="1" t="s">
        <v>62</v>
      </c>
      <c r="K37" s="1" t="s">
        <v>112</v>
      </c>
      <c r="L37" s="43">
        <v>0.2</v>
      </c>
      <c r="M37" s="1">
        <v>19876543241</v>
      </c>
      <c r="N37" s="3" t="s">
        <v>2</v>
      </c>
    </row>
    <row r="38" spans="5:14" ht="15" customHeight="1" x14ac:dyDescent="0.3">
      <c r="E38" s="2" t="s">
        <v>34</v>
      </c>
      <c r="F38" s="13">
        <v>1555</v>
      </c>
      <c r="G38" s="1" t="s">
        <v>35</v>
      </c>
      <c r="H38" s="1" t="s">
        <v>28</v>
      </c>
      <c r="I38" s="1" t="s">
        <v>49</v>
      </c>
      <c r="J38" s="1" t="s">
        <v>71</v>
      </c>
      <c r="K38" s="1" t="s">
        <v>111</v>
      </c>
      <c r="L38" s="43">
        <v>0</v>
      </c>
      <c r="M38" s="1">
        <v>19876543242</v>
      </c>
      <c r="N38" s="3" t="s">
        <v>30</v>
      </c>
    </row>
    <row r="39" spans="5:14" ht="15" customHeight="1" x14ac:dyDescent="0.3">
      <c r="E39" s="56" t="s">
        <v>34</v>
      </c>
      <c r="F39" s="60">
        <v>1666</v>
      </c>
      <c r="G39" s="57" t="s">
        <v>35</v>
      </c>
      <c r="H39" s="57" t="s">
        <v>28</v>
      </c>
      <c r="I39" s="57" t="s">
        <v>45</v>
      </c>
      <c r="J39" s="57" t="s">
        <v>69</v>
      </c>
      <c r="K39" s="57" t="s">
        <v>113</v>
      </c>
      <c r="L39" s="59">
        <v>0</v>
      </c>
      <c r="M39" s="57">
        <v>19876543243</v>
      </c>
      <c r="N39" s="58" t="s">
        <v>30</v>
      </c>
    </row>
    <row r="40" spans="5:14" ht="12" customHeight="1" x14ac:dyDescent="0.3">
      <c r="E40" s="2"/>
      <c r="F40" s="13"/>
      <c r="G40" s="1"/>
      <c r="H40" s="1"/>
      <c r="I40" s="1"/>
      <c r="J40" s="1"/>
      <c r="K40" s="1"/>
      <c r="L40" s="1"/>
      <c r="M40" s="1"/>
      <c r="N40" s="3"/>
    </row>
    <row r="41" spans="5:14" ht="13.5" customHeight="1" x14ac:dyDescent="0.3">
      <c r="E41" s="2"/>
      <c r="F41" s="13"/>
      <c r="G41" s="1"/>
      <c r="H41" s="1"/>
      <c r="I41" s="1"/>
      <c r="J41" s="1"/>
      <c r="K41" s="1"/>
      <c r="L41" s="1"/>
      <c r="M41" s="1"/>
      <c r="N41" s="3"/>
    </row>
    <row r="42" spans="5:14" ht="14.4" x14ac:dyDescent="0.3">
      <c r="E42" s="2"/>
      <c r="F42" s="13"/>
      <c r="G42" s="1"/>
      <c r="H42" s="1"/>
      <c r="I42" s="1"/>
      <c r="J42" s="1"/>
      <c r="K42" s="1"/>
      <c r="L42" s="1"/>
      <c r="M42" s="1"/>
      <c r="N42" s="3"/>
    </row>
    <row r="43" spans="5:14" ht="15" customHeight="1" x14ac:dyDescent="0.3">
      <c r="E43" s="2"/>
      <c r="F43" s="13"/>
      <c r="G43" s="1"/>
      <c r="H43" s="1"/>
      <c r="I43" s="1"/>
      <c r="J43" s="1"/>
      <c r="K43" s="1"/>
      <c r="L43" s="1"/>
      <c r="M43" s="1"/>
      <c r="N43" s="3"/>
    </row>
    <row r="44" spans="5:14" ht="15" customHeight="1" x14ac:dyDescent="0.3">
      <c r="E44" s="2"/>
      <c r="F44" s="13"/>
      <c r="G44" s="1"/>
      <c r="H44" s="1"/>
      <c r="I44" s="1"/>
      <c r="J44" s="1"/>
      <c r="K44" s="1"/>
      <c r="L44" s="1"/>
      <c r="M44" s="1"/>
      <c r="N44" s="3"/>
    </row>
    <row r="45" spans="5:14" ht="15" customHeight="1" x14ac:dyDescent="0.3">
      <c r="F45" s="16"/>
    </row>
    <row r="46" spans="5:14" ht="15" customHeight="1" x14ac:dyDescent="0.3">
      <c r="F46" s="17"/>
    </row>
    <row r="47" spans="5:14" ht="15" customHeight="1" x14ac:dyDescent="0.3">
      <c r="F47" s="17"/>
    </row>
    <row r="48" spans="5:14" ht="15" customHeight="1" x14ac:dyDescent="0.3">
      <c r="F48" s="17"/>
    </row>
    <row r="49" spans="6:6" ht="15" customHeight="1" x14ac:dyDescent="0.3">
      <c r="F49" s="17"/>
    </row>
    <row r="50" spans="6:6" ht="15" customHeight="1" x14ac:dyDescent="0.3">
      <c r="F50" s="17"/>
    </row>
    <row r="51" spans="6:6" ht="15" customHeight="1" x14ac:dyDescent="0.3">
      <c r="F51" s="17"/>
    </row>
    <row r="52" spans="6:6" ht="15" customHeight="1" x14ac:dyDescent="0.3">
      <c r="F52" s="17"/>
    </row>
    <row r="53" spans="6:6" ht="15" customHeight="1" x14ac:dyDescent="0.3">
      <c r="F53" s="17"/>
    </row>
    <row r="54" spans="6:6" ht="15" customHeight="1" x14ac:dyDescent="0.3">
      <c r="F54" s="17"/>
    </row>
    <row r="55" spans="6:6" ht="15" customHeight="1" x14ac:dyDescent="0.3">
      <c r="F55" s="17"/>
    </row>
    <row r="56" spans="6:6" ht="15" customHeight="1" x14ac:dyDescent="0.3">
      <c r="F56" s="17"/>
    </row>
    <row r="57" spans="6:6" ht="15" customHeight="1" x14ac:dyDescent="0.3">
      <c r="F57" s="17"/>
    </row>
    <row r="58" spans="6:6" ht="15" customHeight="1" x14ac:dyDescent="0.3">
      <c r="F58" s="17"/>
    </row>
    <row r="59" spans="6:6" ht="15" customHeight="1" x14ac:dyDescent="0.3">
      <c r="F59" s="17"/>
    </row>
    <row r="60" spans="6:6" ht="15" customHeight="1" x14ac:dyDescent="0.3">
      <c r="F60" s="17"/>
    </row>
    <row r="61" spans="6:6" ht="15" customHeight="1" x14ac:dyDescent="0.3">
      <c r="F61" s="17"/>
    </row>
    <row r="62" spans="6:6" ht="15" customHeight="1" x14ac:dyDescent="0.3">
      <c r="F62" s="17"/>
    </row>
    <row r="63" spans="6:6" ht="15" customHeight="1" x14ac:dyDescent="0.3">
      <c r="F63" s="17"/>
    </row>
    <row r="64" spans="6:6" ht="15" customHeight="1" x14ac:dyDescent="0.3">
      <c r="F64" s="17"/>
    </row>
    <row r="65" spans="6:6" ht="15" customHeight="1" x14ac:dyDescent="0.3">
      <c r="F65" s="17"/>
    </row>
    <row r="66" spans="6:6" ht="15" customHeight="1" x14ac:dyDescent="0.3">
      <c r="F66" s="17"/>
    </row>
    <row r="67" spans="6:6" ht="15" customHeight="1" x14ac:dyDescent="0.3">
      <c r="F67" s="17"/>
    </row>
    <row r="68" spans="6:6" ht="15" customHeight="1" x14ac:dyDescent="0.3">
      <c r="F68" s="17"/>
    </row>
    <row r="69" spans="6:6" ht="15" customHeight="1" x14ac:dyDescent="0.3">
      <c r="F69" s="17"/>
    </row>
    <row r="70" spans="6:6" ht="15" customHeight="1" x14ac:dyDescent="0.3">
      <c r="F70" s="17"/>
    </row>
    <row r="71" spans="6:6" ht="15" customHeight="1" x14ac:dyDescent="0.3">
      <c r="F71" s="17"/>
    </row>
    <row r="72" spans="6:6" ht="15" customHeight="1" x14ac:dyDescent="0.3">
      <c r="F72" s="17"/>
    </row>
    <row r="73" spans="6:6" ht="15" customHeight="1" x14ac:dyDescent="0.3">
      <c r="F73" s="17"/>
    </row>
    <row r="74" spans="6:6" ht="15" customHeight="1" x14ac:dyDescent="0.3">
      <c r="F74" s="17"/>
    </row>
    <row r="75" spans="6:6" ht="15" customHeight="1" x14ac:dyDescent="0.3">
      <c r="F75" s="17"/>
    </row>
    <row r="76" spans="6:6" ht="15" customHeight="1" x14ac:dyDescent="0.3">
      <c r="F76" s="17"/>
    </row>
    <row r="77" spans="6:6" ht="15" customHeight="1" x14ac:dyDescent="0.3">
      <c r="F77" s="17"/>
    </row>
    <row r="78" spans="6:6" ht="15" customHeight="1" x14ac:dyDescent="0.3">
      <c r="F78" s="17"/>
    </row>
    <row r="79" spans="6:6" ht="15" customHeight="1" x14ac:dyDescent="0.3">
      <c r="F79" s="17"/>
    </row>
    <row r="80" spans="6:6" ht="15" customHeight="1" x14ac:dyDescent="0.3">
      <c r="F80" s="17"/>
    </row>
    <row r="81" spans="6:6" ht="15" customHeight="1" x14ac:dyDescent="0.3">
      <c r="F81" s="17"/>
    </row>
    <row r="82" spans="6:6" ht="15" customHeight="1" x14ac:dyDescent="0.3">
      <c r="F82" s="17"/>
    </row>
    <row r="83" spans="6:6" ht="15" customHeight="1" x14ac:dyDescent="0.3">
      <c r="F83" s="17"/>
    </row>
    <row r="84" spans="6:6" ht="15" customHeight="1" x14ac:dyDescent="0.3">
      <c r="F84" s="17"/>
    </row>
    <row r="85" spans="6:6" ht="15" customHeight="1" x14ac:dyDescent="0.3">
      <c r="F85" s="17"/>
    </row>
    <row r="86" spans="6:6" ht="15" customHeight="1" x14ac:dyDescent="0.3">
      <c r="F86" s="17"/>
    </row>
    <row r="87" spans="6:6" ht="15" customHeight="1" x14ac:dyDescent="0.3">
      <c r="F87" s="17"/>
    </row>
    <row r="88" spans="6:6" ht="15" customHeight="1" x14ac:dyDescent="0.3">
      <c r="F88" s="17"/>
    </row>
    <row r="89" spans="6:6" ht="15" customHeight="1" x14ac:dyDescent="0.3">
      <c r="F89" s="17"/>
    </row>
    <row r="90" spans="6:6" ht="15" customHeight="1" x14ac:dyDescent="0.3">
      <c r="F90" s="17"/>
    </row>
    <row r="91" spans="6:6" ht="15" customHeight="1" x14ac:dyDescent="0.3">
      <c r="F91" s="17"/>
    </row>
    <row r="92" spans="6:6" ht="15" customHeight="1" x14ac:dyDescent="0.3">
      <c r="F92" s="17"/>
    </row>
    <row r="93" spans="6:6" ht="15" customHeight="1" x14ac:dyDescent="0.3">
      <c r="F93" s="17"/>
    </row>
    <row r="94" spans="6:6" ht="15" customHeight="1" x14ac:dyDescent="0.3">
      <c r="F94" s="17"/>
    </row>
    <row r="95" spans="6:6" ht="15" customHeight="1" x14ac:dyDescent="0.3">
      <c r="F95" s="17"/>
    </row>
    <row r="96" spans="6:6" ht="15" customHeight="1" x14ac:dyDescent="0.3">
      <c r="F96" s="17"/>
    </row>
    <row r="97" spans="6:6" ht="15" customHeight="1" x14ac:dyDescent="0.3">
      <c r="F97" s="17"/>
    </row>
    <row r="98" spans="6:6" ht="15" customHeight="1" x14ac:dyDescent="0.3">
      <c r="F98" s="17"/>
    </row>
    <row r="99" spans="6:6" ht="15" customHeight="1" x14ac:dyDescent="0.3">
      <c r="F99" s="17"/>
    </row>
    <row r="100" spans="6:6" ht="15" customHeight="1" x14ac:dyDescent="0.3">
      <c r="F100" s="17"/>
    </row>
    <row r="101" spans="6:6" ht="15" customHeight="1" x14ac:dyDescent="0.3">
      <c r="F101" s="17"/>
    </row>
    <row r="102" spans="6:6" ht="15" customHeight="1" x14ac:dyDescent="0.3">
      <c r="F102" s="17"/>
    </row>
    <row r="103" spans="6:6" ht="15" customHeight="1" x14ac:dyDescent="0.3">
      <c r="F103" s="17"/>
    </row>
    <row r="104" spans="6:6" ht="15" customHeight="1" x14ac:dyDescent="0.3">
      <c r="F104" s="17"/>
    </row>
    <row r="105" spans="6:6" ht="15" customHeight="1" x14ac:dyDescent="0.3">
      <c r="F105" s="17"/>
    </row>
    <row r="106" spans="6:6" ht="15" customHeight="1" x14ac:dyDescent="0.3">
      <c r="F106" s="17"/>
    </row>
    <row r="107" spans="6:6" ht="15" customHeight="1" x14ac:dyDescent="0.3">
      <c r="F107" s="17"/>
    </row>
    <row r="108" spans="6:6" ht="15" customHeight="1" x14ac:dyDescent="0.3">
      <c r="F108" s="17"/>
    </row>
    <row r="109" spans="6:6" ht="15" customHeight="1" x14ac:dyDescent="0.3">
      <c r="F109" s="17"/>
    </row>
    <row r="110" spans="6:6" ht="15" customHeight="1" x14ac:dyDescent="0.3">
      <c r="F110" s="17"/>
    </row>
    <row r="111" spans="6:6" ht="15" customHeight="1" x14ac:dyDescent="0.3">
      <c r="F111" s="17"/>
    </row>
    <row r="112" spans="6:6" ht="15" customHeight="1" x14ac:dyDescent="0.3">
      <c r="F112" s="17"/>
    </row>
    <row r="113" spans="6:6" ht="15" customHeight="1" x14ac:dyDescent="0.3">
      <c r="F113" s="17"/>
    </row>
    <row r="114" spans="6:6" ht="15" customHeight="1" x14ac:dyDescent="0.3">
      <c r="F114" s="17"/>
    </row>
    <row r="115" spans="6:6" ht="15" customHeight="1" x14ac:dyDescent="0.3">
      <c r="F115" s="17"/>
    </row>
    <row r="116" spans="6:6" ht="15" customHeight="1" x14ac:dyDescent="0.3">
      <c r="F116" s="17"/>
    </row>
    <row r="117" spans="6:6" ht="15" customHeight="1" x14ac:dyDescent="0.3">
      <c r="F117" s="17"/>
    </row>
    <row r="118" spans="6:6" ht="15" customHeight="1" x14ac:dyDescent="0.3">
      <c r="F118" s="17"/>
    </row>
    <row r="119" spans="6:6" ht="15" customHeight="1" x14ac:dyDescent="0.3">
      <c r="F119" s="17"/>
    </row>
    <row r="120" spans="6:6" ht="15" customHeight="1" x14ac:dyDescent="0.3">
      <c r="F120" s="17"/>
    </row>
    <row r="121" spans="6:6" ht="15" customHeight="1" x14ac:dyDescent="0.3">
      <c r="F121" s="17"/>
    </row>
    <row r="122" spans="6:6" ht="15" customHeight="1" x14ac:dyDescent="0.3">
      <c r="F122" s="17"/>
    </row>
    <row r="123" spans="6:6" ht="15" customHeight="1" x14ac:dyDescent="0.3">
      <c r="F123" s="17"/>
    </row>
    <row r="124" spans="6:6" ht="15" customHeight="1" x14ac:dyDescent="0.3">
      <c r="F124" s="17"/>
    </row>
    <row r="125" spans="6:6" ht="15" customHeight="1" x14ac:dyDescent="0.3">
      <c r="F125" s="17"/>
    </row>
    <row r="126" spans="6:6" ht="15" customHeight="1" x14ac:dyDescent="0.3">
      <c r="F126" s="17"/>
    </row>
    <row r="127" spans="6:6" ht="15" customHeight="1" x14ac:dyDescent="0.3">
      <c r="F127" s="17"/>
    </row>
    <row r="128" spans="6:6" ht="15" customHeight="1" x14ac:dyDescent="0.3">
      <c r="F128" s="17"/>
    </row>
    <row r="129" spans="6:6" ht="15" customHeight="1" x14ac:dyDescent="0.3">
      <c r="F129" s="17"/>
    </row>
    <row r="130" spans="6:6" ht="15" customHeight="1" x14ac:dyDescent="0.3">
      <c r="F130" s="17"/>
    </row>
    <row r="131" spans="6:6" ht="15" customHeight="1" x14ac:dyDescent="0.3">
      <c r="F131" s="17"/>
    </row>
    <row r="132" spans="6:6" ht="15" customHeight="1" x14ac:dyDescent="0.3">
      <c r="F132" s="17"/>
    </row>
    <row r="133" spans="6:6" ht="15" customHeight="1" x14ac:dyDescent="0.3">
      <c r="F133" s="17"/>
    </row>
    <row r="134" spans="6:6" ht="15" customHeight="1" x14ac:dyDescent="0.3">
      <c r="F134" s="17"/>
    </row>
    <row r="135" spans="6:6" ht="15" customHeight="1" x14ac:dyDescent="0.3">
      <c r="F135" s="17"/>
    </row>
    <row r="136" spans="6:6" ht="15" customHeight="1" x14ac:dyDescent="0.3">
      <c r="F136" s="17"/>
    </row>
    <row r="137" spans="6:6" ht="15" customHeight="1" x14ac:dyDescent="0.3">
      <c r="F137" s="17"/>
    </row>
    <row r="138" spans="6:6" ht="15" customHeight="1" x14ac:dyDescent="0.3">
      <c r="F138" s="17"/>
    </row>
    <row r="139" spans="6:6" ht="15" customHeight="1" x14ac:dyDescent="0.3">
      <c r="F139" s="17"/>
    </row>
    <row r="140" spans="6:6" ht="15" customHeight="1" x14ac:dyDescent="0.3">
      <c r="F140" s="17"/>
    </row>
    <row r="141" spans="6:6" ht="15" customHeight="1" x14ac:dyDescent="0.3">
      <c r="F141" s="17"/>
    </row>
    <row r="142" spans="6:6" ht="15" customHeight="1" x14ac:dyDescent="0.3">
      <c r="F142" s="17"/>
    </row>
    <row r="143" spans="6:6" ht="15" customHeight="1" x14ac:dyDescent="0.3">
      <c r="F143" s="17"/>
    </row>
    <row r="144" spans="6:6" ht="15" customHeight="1" x14ac:dyDescent="0.3">
      <c r="F144" s="17"/>
    </row>
    <row r="145" spans="6:6" ht="15" customHeight="1" x14ac:dyDescent="0.3">
      <c r="F145" s="17"/>
    </row>
    <row r="146" spans="6:6" ht="15" customHeight="1" x14ac:dyDescent="0.3">
      <c r="F146" s="17"/>
    </row>
    <row r="147" spans="6:6" ht="15" customHeight="1" x14ac:dyDescent="0.3">
      <c r="F147" s="17"/>
    </row>
  </sheetData>
  <autoFilter ref="E6:L39" xr:uid="{961A102E-77ED-43F2-A3AF-4B8043F397C7}">
    <filterColumn colId="0">
      <customFilters>
        <customFilter val="**"/>
      </customFilters>
    </filterColumn>
    <filterColumn colId="1">
      <customFilters>
        <customFilter operator="greaterThanOrEqual" val="0"/>
      </customFilters>
    </filterColumn>
    <filterColumn colId="2">
      <customFilters>
        <customFilter val="**"/>
      </customFilters>
    </filterColumn>
    <filterColumn colId="3">
      <customFilters>
        <customFilter val="**"/>
      </customFilters>
    </filterColumn>
  </autoFilter>
  <mergeCells count="7">
    <mergeCell ref="N4:N5"/>
    <mergeCell ref="J4:J5"/>
    <mergeCell ref="G1:H2"/>
    <mergeCell ref="M4:M5"/>
    <mergeCell ref="I4:I5"/>
    <mergeCell ref="K4:K5"/>
    <mergeCell ref="L4:L5"/>
  </mergeCells>
  <conditionalFormatting sqref="E5">
    <cfRule type="cellIs" dxfId="3" priority="10" operator="equal">
      <formula>"Enter Name"</formula>
    </cfRule>
  </conditionalFormatting>
  <conditionalFormatting sqref="G5">
    <cfRule type="cellIs" dxfId="2" priority="3" operator="equal">
      <formula>"Company Name"</formula>
    </cfRule>
  </conditionalFormatting>
  <conditionalFormatting sqref="H5">
    <cfRule type="cellIs" dxfId="1" priority="2" operator="equal">
      <formula>"Company Address"</formula>
    </cfRule>
  </conditionalFormatting>
  <conditionalFormatting sqref="F5">
    <cfRule type="cellIs" dxfId="0" priority="1" operator="equal">
      <formula>"Amount Paid"</formula>
    </cfRule>
  </conditionalFormatting>
  <dataValidations disablePrompts="1" count="2">
    <dataValidation type="list" allowBlank="1" showInputMessage="1" showErrorMessage="1" sqref="N8:N40" xr:uid="{3CE03691-1782-40CA-8172-D2FC38564956}">
      <formula1>"Paid,Created,Sent"</formula1>
    </dataValidation>
    <dataValidation type="list" showInputMessage="1" showErrorMessage="1" sqref="N7" xr:uid="{58C70808-24B1-40C6-A555-E28281F66F5A}">
      <formula1>"Paid,Created,Sent"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8B7F8-586B-4467-A85B-85464E919736}">
  <sheetPr codeName="Invoice"/>
  <dimension ref="A1:M50"/>
  <sheetViews>
    <sheetView zoomScaleNormal="100" workbookViewId="0">
      <selection activeCell="O18" sqref="O18"/>
    </sheetView>
  </sheetViews>
  <sheetFormatPr defaultColWidth="9.109375" defaultRowHeight="14.4" x14ac:dyDescent="0.3"/>
  <cols>
    <col min="1" max="1" width="0.44140625" style="5" customWidth="1"/>
    <col min="2" max="2" width="43.88671875" style="5" customWidth="1"/>
    <col min="3" max="3" width="17.44140625" style="5" customWidth="1"/>
    <col min="4" max="4" width="15.5546875" style="38" customWidth="1"/>
    <col min="5" max="5" width="17.44140625" style="38" customWidth="1"/>
    <col min="6" max="6" width="2.33203125" style="38" customWidth="1"/>
    <col min="7" max="7" width="9.109375" style="38" customWidth="1"/>
    <col min="8" max="8" width="10.109375" style="38" bestFit="1" customWidth="1"/>
    <col min="9" max="9" width="9.109375" style="38"/>
    <col min="10" max="10" width="17.6640625" style="38" customWidth="1"/>
    <col min="11" max="11" width="10.109375" style="38" bestFit="1" customWidth="1"/>
    <col min="12" max="13" width="9.109375" style="38"/>
    <col min="14" max="16384" width="9.109375" style="5"/>
  </cols>
  <sheetData>
    <row r="1" spans="1:13" ht="23.4" x14ac:dyDescent="0.45">
      <c r="A1" s="28"/>
      <c r="B1" s="28"/>
      <c r="C1" s="28"/>
      <c r="D1" s="28"/>
      <c r="E1" s="28"/>
      <c r="F1" s="29"/>
      <c r="G1" s="37"/>
      <c r="H1" s="37"/>
      <c r="I1" s="37"/>
      <c r="J1" s="37"/>
      <c r="K1" s="5"/>
      <c r="L1" s="5"/>
      <c r="M1" s="5"/>
    </row>
    <row r="2" spans="1:13" x14ac:dyDescent="0.3">
      <c r="A2" s="28"/>
      <c r="B2" s="28"/>
      <c r="C2" s="28"/>
      <c r="D2" s="28"/>
      <c r="E2" s="28"/>
      <c r="F2" s="28"/>
      <c r="G2" s="5"/>
      <c r="H2" s="5"/>
      <c r="I2" s="5"/>
      <c r="J2" s="5"/>
      <c r="K2" s="5"/>
      <c r="L2" s="5"/>
      <c r="M2" s="5"/>
    </row>
    <row r="3" spans="1:13" x14ac:dyDescent="0.3">
      <c r="A3" s="28"/>
      <c r="B3" s="28"/>
      <c r="C3" s="28"/>
      <c r="D3" s="28"/>
      <c r="E3" s="28"/>
      <c r="F3" s="28"/>
      <c r="G3" s="5"/>
      <c r="H3" s="5"/>
      <c r="I3" s="5"/>
      <c r="J3" s="5"/>
      <c r="K3" s="5"/>
      <c r="L3" s="5"/>
      <c r="M3" s="5"/>
    </row>
    <row r="4" spans="1:13" x14ac:dyDescent="0.3">
      <c r="A4" s="28"/>
      <c r="B4" s="28"/>
      <c r="C4" s="28"/>
      <c r="D4" s="21"/>
      <c r="E4" s="21"/>
      <c r="F4" s="21"/>
    </row>
    <row r="5" spans="1:13" x14ac:dyDescent="0.3">
      <c r="A5" s="28"/>
      <c r="B5" s="21" t="s">
        <v>53</v>
      </c>
      <c r="C5" s="21"/>
      <c r="D5" s="21"/>
      <c r="E5" s="21"/>
      <c r="F5" s="21"/>
    </row>
    <row r="6" spans="1:13" x14ac:dyDescent="0.3">
      <c r="A6" s="28"/>
      <c r="B6" s="21" t="s">
        <v>54</v>
      </c>
      <c r="C6" s="21"/>
      <c r="D6" s="21"/>
      <c r="E6" s="21"/>
      <c r="F6" s="21"/>
    </row>
    <row r="7" spans="1:13" x14ac:dyDescent="0.3">
      <c r="A7" s="28"/>
      <c r="B7" s="21" t="s">
        <v>55</v>
      </c>
      <c r="C7" s="21"/>
      <c r="D7" s="21"/>
      <c r="E7" s="21"/>
      <c r="F7" s="21"/>
    </row>
    <row r="8" spans="1:13" x14ac:dyDescent="0.3">
      <c r="A8" s="28"/>
      <c r="B8" s="21" t="s">
        <v>56</v>
      </c>
      <c r="C8" s="21"/>
      <c r="D8" s="21"/>
      <c r="E8" s="21"/>
      <c r="F8" s="21"/>
    </row>
    <row r="9" spans="1:13" x14ac:dyDescent="0.3">
      <c r="A9" s="28"/>
      <c r="B9" s="21"/>
      <c r="C9" s="21"/>
      <c r="D9" s="21"/>
      <c r="E9" s="21"/>
      <c r="F9" s="21"/>
    </row>
    <row r="10" spans="1:13" x14ac:dyDescent="0.3">
      <c r="A10" s="28"/>
      <c r="B10" s="21"/>
      <c r="C10" s="21"/>
      <c r="D10" s="21"/>
      <c r="E10" s="21"/>
      <c r="F10" s="21"/>
    </row>
    <row r="11" spans="1:13" x14ac:dyDescent="0.3">
      <c r="A11" s="28"/>
      <c r="B11" s="21"/>
      <c r="C11" s="28"/>
      <c r="D11" s="22" t="s">
        <v>57</v>
      </c>
      <c r="E11" s="35">
        <v>19876543222</v>
      </c>
      <c r="F11" s="21"/>
    </row>
    <row r="12" spans="1:13" x14ac:dyDescent="0.3">
      <c r="A12" s="28"/>
      <c r="B12" s="21"/>
      <c r="C12" s="28"/>
      <c r="D12" s="22" t="s">
        <v>58</v>
      </c>
      <c r="E12" s="36">
        <f ca="1">TODAY()</f>
        <v>44579</v>
      </c>
      <c r="F12" s="21"/>
    </row>
    <row r="13" spans="1:13" x14ac:dyDescent="0.3">
      <c r="A13" s="28"/>
      <c r="B13" s="21"/>
      <c r="C13" s="28"/>
      <c r="D13" s="22" t="s">
        <v>59</v>
      </c>
      <c r="E13" s="35" t="s">
        <v>60</v>
      </c>
      <c r="F13" s="21"/>
    </row>
    <row r="14" spans="1:13" x14ac:dyDescent="0.3">
      <c r="A14" s="28"/>
      <c r="B14" s="21"/>
      <c r="C14" s="21"/>
      <c r="D14" s="21"/>
      <c r="E14" s="21"/>
      <c r="F14" s="21"/>
    </row>
    <row r="15" spans="1:13" x14ac:dyDescent="0.3">
      <c r="A15" s="28"/>
      <c r="B15" s="21"/>
      <c r="C15" s="21"/>
      <c r="D15" s="21"/>
      <c r="E15" s="21"/>
      <c r="F15" s="21"/>
    </row>
    <row r="16" spans="1:13" x14ac:dyDescent="0.3">
      <c r="A16" s="28"/>
      <c r="B16" s="21"/>
      <c r="C16" s="21"/>
      <c r="D16" s="21"/>
      <c r="E16" s="21"/>
      <c r="F16" s="21"/>
    </row>
    <row r="17" spans="1:6" x14ac:dyDescent="0.3">
      <c r="A17" s="28"/>
      <c r="B17" s="21" t="s">
        <v>24</v>
      </c>
      <c r="C17" s="21"/>
      <c r="D17" s="21"/>
      <c r="E17" s="21"/>
      <c r="F17" s="21"/>
    </row>
    <row r="18" spans="1:6" x14ac:dyDescent="0.3">
      <c r="A18" s="28"/>
      <c r="B18" s="21" t="s">
        <v>23</v>
      </c>
      <c r="C18" s="21"/>
      <c r="D18" s="21"/>
      <c r="E18" s="21"/>
      <c r="F18" s="21"/>
    </row>
    <row r="19" spans="1:6" x14ac:dyDescent="0.3">
      <c r="A19" s="28"/>
      <c r="B19" s="23" t="s">
        <v>25</v>
      </c>
      <c r="C19" s="21"/>
      <c r="D19" s="21"/>
      <c r="E19" s="21"/>
      <c r="F19" s="21"/>
    </row>
    <row r="20" spans="1:6" x14ac:dyDescent="0.3">
      <c r="A20" s="28"/>
      <c r="B20" s="21" t="s">
        <v>68</v>
      </c>
      <c r="C20" s="21"/>
      <c r="D20" s="21"/>
      <c r="E20" s="21"/>
      <c r="F20" s="21"/>
    </row>
    <row r="21" spans="1:6" x14ac:dyDescent="0.3">
      <c r="A21" s="28"/>
      <c r="B21" s="21" t="s">
        <v>46</v>
      </c>
      <c r="C21" s="21"/>
      <c r="D21" s="21"/>
      <c r="E21" s="21"/>
      <c r="F21" s="21"/>
    </row>
    <row r="22" spans="1:6" x14ac:dyDescent="0.3">
      <c r="A22" s="28"/>
      <c r="B22" s="21"/>
      <c r="C22" s="21"/>
      <c r="D22" s="21"/>
      <c r="E22" s="21"/>
      <c r="F22" s="21"/>
    </row>
    <row r="23" spans="1:6" x14ac:dyDescent="0.3">
      <c r="A23" s="28"/>
      <c r="B23" s="21"/>
      <c r="C23" s="21"/>
      <c r="D23" s="21"/>
      <c r="E23" s="21"/>
      <c r="F23" s="21"/>
    </row>
    <row r="24" spans="1:6" x14ac:dyDescent="0.3">
      <c r="A24" s="28"/>
      <c r="B24" s="21"/>
      <c r="C24" s="21"/>
      <c r="D24" s="21"/>
      <c r="E24" s="21"/>
      <c r="F24" s="21"/>
    </row>
    <row r="25" spans="1:6" x14ac:dyDescent="0.3">
      <c r="A25" s="28"/>
      <c r="B25" s="34" t="s">
        <v>52</v>
      </c>
      <c r="C25" s="34" t="s">
        <v>58</v>
      </c>
      <c r="D25" s="34" t="s">
        <v>72</v>
      </c>
      <c r="E25" s="34" t="s">
        <v>73</v>
      </c>
      <c r="F25" s="21"/>
    </row>
    <row r="26" spans="1:6" x14ac:dyDescent="0.3">
      <c r="A26" s="28"/>
      <c r="B26" s="33" t="s">
        <v>93</v>
      </c>
      <c r="C26" s="30">
        <v>42985</v>
      </c>
      <c r="D26" s="31">
        <v>145</v>
      </c>
      <c r="E26" s="32">
        <v>0</v>
      </c>
      <c r="F26" s="21"/>
    </row>
    <row r="27" spans="1:6" x14ac:dyDescent="0.3">
      <c r="A27" s="28"/>
      <c r="B27" s="33"/>
      <c r="C27" s="33"/>
      <c r="D27" s="31"/>
      <c r="E27" s="32"/>
      <c r="F27" s="21"/>
    </row>
    <row r="28" spans="1:6" x14ac:dyDescent="0.3">
      <c r="A28" s="28"/>
      <c r="B28" s="33"/>
      <c r="C28" s="33"/>
      <c r="D28" s="31"/>
      <c r="E28" s="32"/>
      <c r="F28" s="21"/>
    </row>
    <row r="29" spans="1:6" x14ac:dyDescent="0.3">
      <c r="A29" s="28"/>
      <c r="B29" s="33"/>
      <c r="C29" s="33"/>
      <c r="D29" s="31"/>
      <c r="E29" s="32"/>
      <c r="F29" s="21"/>
    </row>
    <row r="30" spans="1:6" x14ac:dyDescent="0.3">
      <c r="A30" s="28"/>
      <c r="B30" s="21"/>
      <c r="C30" s="21"/>
      <c r="D30" s="24"/>
      <c r="E30" s="21"/>
      <c r="F30" s="21"/>
    </row>
    <row r="31" spans="1:6" x14ac:dyDescent="0.3">
      <c r="A31" s="28"/>
      <c r="B31" s="21"/>
      <c r="C31" s="21"/>
      <c r="D31" s="24"/>
      <c r="E31" s="21"/>
      <c r="F31" s="21"/>
    </row>
    <row r="32" spans="1:6" ht="15.6" x14ac:dyDescent="0.3">
      <c r="A32" s="28"/>
      <c r="B32" s="21"/>
      <c r="C32" s="26" t="s">
        <v>74</v>
      </c>
      <c r="D32" s="25">
        <f>SUM(D26:D29)</f>
        <v>145</v>
      </c>
      <c r="E32" s="21"/>
      <c r="F32" s="21"/>
    </row>
    <row r="33" spans="1:6" ht="15.6" x14ac:dyDescent="0.3">
      <c r="A33" s="28"/>
      <c r="B33" s="21"/>
      <c r="C33" s="26" t="s">
        <v>75</v>
      </c>
      <c r="D33" s="25">
        <f>SUMPRODUCT(D26:D29,E26:E29)</f>
        <v>0</v>
      </c>
      <c r="E33" s="21"/>
      <c r="F33" s="21"/>
    </row>
    <row r="34" spans="1:6" ht="15.6" x14ac:dyDescent="0.3">
      <c r="A34" s="28"/>
      <c r="B34" s="21"/>
      <c r="C34" s="27" t="s">
        <v>76</v>
      </c>
      <c r="D34" s="24">
        <f>D32+D33</f>
        <v>145</v>
      </c>
      <c r="E34" s="21"/>
      <c r="F34" s="21"/>
    </row>
    <row r="35" spans="1:6" x14ac:dyDescent="0.3">
      <c r="A35" s="28"/>
      <c r="B35" s="21"/>
      <c r="C35" s="21"/>
      <c r="D35" s="24"/>
      <c r="E35" s="21"/>
      <c r="F35" s="21"/>
    </row>
    <row r="36" spans="1:6" x14ac:dyDescent="0.3">
      <c r="A36" s="28"/>
      <c r="B36" s="21"/>
      <c r="C36" s="21"/>
      <c r="D36" s="24"/>
      <c r="E36" s="21"/>
      <c r="F36" s="21"/>
    </row>
    <row r="37" spans="1:6" x14ac:dyDescent="0.3">
      <c r="A37" s="28"/>
      <c r="B37" s="21"/>
      <c r="C37" s="21"/>
      <c r="D37" s="24"/>
      <c r="E37" s="21"/>
      <c r="F37" s="21"/>
    </row>
    <row r="38" spans="1:6" x14ac:dyDescent="0.3">
      <c r="A38" s="28"/>
      <c r="B38" s="21"/>
      <c r="C38" s="21"/>
      <c r="D38" s="24"/>
      <c r="E38" s="21"/>
      <c r="F38" s="21"/>
    </row>
    <row r="39" spans="1:6" x14ac:dyDescent="0.3">
      <c r="A39" s="28"/>
      <c r="B39" s="21"/>
      <c r="C39" s="21"/>
      <c r="D39" s="24"/>
      <c r="E39" s="21"/>
      <c r="F39" s="21"/>
    </row>
    <row r="40" spans="1:6" x14ac:dyDescent="0.3">
      <c r="A40" s="28"/>
      <c r="B40" s="28" t="s">
        <v>77</v>
      </c>
      <c r="C40" s="21"/>
      <c r="D40" s="24"/>
      <c r="E40" s="21"/>
      <c r="F40" s="21"/>
    </row>
    <row r="41" spans="1:6" x14ac:dyDescent="0.3">
      <c r="A41" s="28"/>
      <c r="B41" s="28" t="s">
        <v>78</v>
      </c>
      <c r="C41" s="21"/>
      <c r="D41" s="24"/>
      <c r="E41" s="21"/>
      <c r="F41" s="21"/>
    </row>
    <row r="42" spans="1:6" x14ac:dyDescent="0.3">
      <c r="A42" s="28"/>
      <c r="B42" s="28" t="s">
        <v>79</v>
      </c>
      <c r="C42" s="21"/>
      <c r="D42" s="24"/>
      <c r="E42" s="21"/>
      <c r="F42" s="21"/>
    </row>
    <row r="43" spans="1:6" x14ac:dyDescent="0.3">
      <c r="A43" s="28"/>
      <c r="B43" s="28" t="s">
        <v>80</v>
      </c>
      <c r="C43" s="21"/>
      <c r="D43" s="24"/>
      <c r="E43" s="21"/>
      <c r="F43" s="21"/>
    </row>
    <row r="44" spans="1:6" x14ac:dyDescent="0.3">
      <c r="A44" s="28"/>
      <c r="B44" s="28"/>
      <c r="C44" s="21"/>
      <c r="D44" s="24"/>
      <c r="E44" s="21"/>
      <c r="F44" s="21"/>
    </row>
    <row r="45" spans="1:6" ht="70.8" x14ac:dyDescent="2.75">
      <c r="A45" s="28"/>
      <c r="B45" s="21"/>
      <c r="C45" s="55">
        <v>19876543222</v>
      </c>
      <c r="D45" s="55"/>
      <c r="E45" s="55"/>
      <c r="F45" s="21"/>
    </row>
    <row r="46" spans="1:6" x14ac:dyDescent="0.3">
      <c r="F46" s="39"/>
    </row>
    <row r="47" spans="1:6" x14ac:dyDescent="0.3">
      <c r="F47" s="39"/>
    </row>
    <row r="48" spans="1:6" x14ac:dyDescent="0.3">
      <c r="F48" s="39"/>
    </row>
    <row r="49" spans="6:6" x14ac:dyDescent="0.3">
      <c r="F49" s="39"/>
    </row>
    <row r="50" spans="6:6" x14ac:dyDescent="0.3">
      <c r="F50" s="39"/>
    </row>
  </sheetData>
  <mergeCells count="1">
    <mergeCell ref="C45:E45"/>
  </mergeCells>
  <pageMargins left="0.25" right="0.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Invoice</vt:lpstr>
      <vt:lpstr>Code</vt:lpstr>
      <vt:lpstr>InvoiceRange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Radwański</dc:creator>
  <cp:lastModifiedBy>Radwański</cp:lastModifiedBy>
  <cp:lastPrinted>2020-12-07T09:02:37Z</cp:lastPrinted>
  <dcterms:created xsi:type="dcterms:W3CDTF">2015-06-05T18:17:20Z</dcterms:created>
  <dcterms:modified xsi:type="dcterms:W3CDTF">2022-01-18T18:42:20Z</dcterms:modified>
</cp:coreProperties>
</file>